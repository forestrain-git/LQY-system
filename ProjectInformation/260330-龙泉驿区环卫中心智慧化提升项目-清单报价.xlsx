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320" windowHeight="14100" activeTab="1"/>
  </bookViews>
  <sheets>
    <sheet name="汇总表" sheetId="10" r:id="rId1"/>
    <sheet name="1-智慧运营管理平台" sheetId="5" r:id="rId2"/>
    <sheet name="2-硬件支撑系统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<sst xmlns="http://schemas.openxmlformats.org/spreadsheetml/2006/main" count="777" uniqueCount="491">
  <si>
    <t>龙泉驿区环卫中心智慧化提升项目</t>
  </si>
  <si>
    <t>序号</t>
  </si>
  <si>
    <t>配置项目</t>
  </si>
  <si>
    <t>说明</t>
  </si>
  <si>
    <t>价格（万元）</t>
  </si>
  <si>
    <t>备注</t>
  </si>
  <si>
    <t>智慧运营管理平台</t>
  </si>
  <si>
    <t>包含基础业务管理平台、、数字孪生、大模型与智能体、算法引擎、智能决策系统、移动端应用、数据接入服务、系统实施等。</t>
  </si>
  <si>
    <t>硬件支撑系统</t>
  </si>
  <si>
    <t>包含服务器、AI算力设备、传感器、机器人、网络及安全设备、执行机构等物理设备等</t>
  </si>
  <si>
    <t>总计</t>
  </si>
  <si>
    <t>功能模块名称</t>
  </si>
  <si>
    <t>主要功能</t>
  </si>
  <si>
    <t xml:space="preserve">单位 </t>
  </si>
  <si>
    <t xml:space="preserve">数量 </t>
  </si>
  <si>
    <t>单价/元</t>
  </si>
  <si>
    <t>合价/元</t>
  </si>
  <si>
    <t>一. 大屏端</t>
  </si>
  <si>
    <t>功能点</t>
  </si>
  <si>
    <t>1.1</t>
  </si>
  <si>
    <t>大屏可视化软件</t>
  </si>
  <si>
    <t>结合数字孪生系统，定制开发
1. 全局总览看板
2. 运营调度看板
3. 设备管理看板
4. 环境管控看板
5. 安全管理看板
6. 成本分析看板</t>
  </si>
  <si>
    <t>套</t>
  </si>
  <si>
    <t>小计</t>
  </si>
  <si>
    <t>二. WEB端</t>
  </si>
  <si>
    <t>2.1</t>
  </si>
  <si>
    <t>管理驾驶舱</t>
  </si>
  <si>
    <t>1.核心指标实时展示：展示日/周/月垃圾处理总量、各品类垃圾处理量、设备运行率、能耗总量、环境指标达标率等核心指标；
2.多维度数据钻取：支持从总量指标钻取至具体区域、设备、时间段的明细数据（如点击“生活垃圾处理量” 可查看各泊位处理量分布）；
3.趋势分析：展示垃圾处理量、能耗、环境指标等数据的趋势变化，支持按日/周/月/年查看。</t>
  </si>
  <si>
    <t>2.2</t>
  </si>
  <si>
    <t>智慧调度</t>
  </si>
  <si>
    <t>1. 垃圾进站智能调度
2. 垃圾处置流程调度
3.末端处置场联动调度
4.调度监控与预警
5.调度报表与分析</t>
  </si>
  <si>
    <t>2.3</t>
  </si>
  <si>
    <t>生产管控</t>
  </si>
  <si>
    <t>综合监控</t>
  </si>
  <si>
    <t>1. GIS定位
2. 区域划分
3. 站点数量总概
4. 当前告警统计
5. 当前调度任务统计
6. 告警级别图层过滤
7. 站点类型图层过滤
8. 卫星图切换
9. GIS地图重置</t>
  </si>
  <si>
    <t>2.3.1</t>
  </si>
  <si>
    <t>生产监控</t>
  </si>
  <si>
    <t>1. 工艺组态图展示
2. 历史趋势曲线
3. 仪表实时监测数据
4. 设备状态展示
5. 设备远程控制
6. 参数设置
7. 设备基本信息
8. 设备运行台账
9. 设备维修记录
10. 设备告警记录
11. 设备保养记录
12. 实时视频</t>
  </si>
  <si>
    <t>2.3.2</t>
  </si>
  <si>
    <t>预警管理</t>
  </si>
  <si>
    <t>1. 预警信息管理
2. 预警信息检索/筛选
3. 预警信息详情查看
4. 频发告警合并显示
5. 智能故障预警</t>
  </si>
  <si>
    <t>2.3.3</t>
  </si>
  <si>
    <t>派单管理</t>
  </si>
  <si>
    <t>1. 自动获取app派单
2. 已办结果查看
3. 派单信息查询</t>
  </si>
  <si>
    <t>2.3.4</t>
  </si>
  <si>
    <t>值班管理</t>
  </si>
  <si>
    <t>排班管理</t>
  </si>
  <si>
    <t>1. 排班设置
2. 日历展示
3. 删除排班
4. 值班室查询</t>
  </si>
  <si>
    <t>交接班</t>
  </si>
  <si>
    <t>1. 交班操作
2. 接班操作
3. 交接班信息查询
4. 接班事项确认</t>
  </si>
  <si>
    <t>2.3.5</t>
  </si>
  <si>
    <t>化验管理</t>
  </si>
  <si>
    <t>1.化验填报
2.水质台账
3.实验室物资管理</t>
  </si>
  <si>
    <t>2.3.6</t>
  </si>
  <si>
    <t>巡检管控</t>
  </si>
  <si>
    <t>人工巡检</t>
  </si>
  <si>
    <t>1. 巡检条目设置
2. 巡检点设置
3. 巡检方案设置
4. 巡检计划创建
5. 巡检任务生成
6. 巡检结果查看
7. 巡检信息查询
8. 巡检详情查看
9. 巡检评价
10. 巡检覆盖率. 达标率统计（频次达标）</t>
  </si>
  <si>
    <t>设备自动巡检</t>
  </si>
  <si>
    <t>1. 自定义巡检内容
2. 自定义巡检周期
3. 自动生成巡检报表
4. 历史巡检记录查询
5. 支持人工录入</t>
  </si>
  <si>
    <t>机器人巡检</t>
  </si>
  <si>
    <t>展示机器人巡检记录及巡检结果等。</t>
  </si>
  <si>
    <t>虚拟巡检</t>
  </si>
  <si>
    <t>通过摄像头实现自动巡检，AI 实时识别垃圾、满溢、污渍、设施损坏等问题，在孪生场景精准定位、自动告警并派单，支持固定与车载动态巡检、AI 复核闭环，结合云边协同实现 7×24 小时智能监管，提升巡查效率与处置响应速度。</t>
  </si>
  <si>
    <t>含在数字孪生中</t>
  </si>
  <si>
    <r>
      <rPr>
        <sz val="11"/>
        <rFont val="微软雅黑"/>
        <charset val="134"/>
      </rPr>
      <t>2.3.</t>
    </r>
    <r>
      <rPr>
        <sz val="11"/>
        <rFont val="微软雅黑"/>
        <charset val="134"/>
      </rPr>
      <t>7</t>
    </r>
  </si>
  <si>
    <t>精风系统</t>
  </si>
  <si>
    <t>1.状态监测
2.模型推优
3.节能分析</t>
  </si>
  <si>
    <r>
      <rPr>
        <sz val="11"/>
        <rFont val="微软雅黑"/>
        <charset val="134"/>
      </rPr>
      <t>2.3.</t>
    </r>
    <r>
      <rPr>
        <sz val="11"/>
        <rFont val="微软雅黑"/>
        <charset val="134"/>
      </rPr>
      <t>8</t>
    </r>
  </si>
  <si>
    <t>智能加药系统</t>
  </si>
  <si>
    <t>1.状态监测
2.模型推优
3.药耗分析</t>
  </si>
  <si>
    <r>
      <rPr>
        <sz val="11"/>
        <rFont val="微软雅黑"/>
        <charset val="134"/>
      </rPr>
      <t>2.3.</t>
    </r>
    <r>
      <rPr>
        <sz val="11"/>
        <rFont val="微软雅黑"/>
        <charset val="134"/>
      </rPr>
      <t>9</t>
    </r>
  </si>
  <si>
    <t>无人机管理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</si>
  <si>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.状态监测
2.任务管理</t>
    </r>
  </si>
  <si>
    <r>
      <rPr>
        <sz val="11"/>
        <rFont val="微软雅黑"/>
        <charset val="134"/>
      </rPr>
      <t>2.3.</t>
    </r>
    <r>
      <rPr>
        <sz val="11"/>
        <rFont val="微软雅黑"/>
        <charset val="134"/>
      </rPr>
      <t>10</t>
    </r>
  </si>
  <si>
    <t>无人清扫车管理</t>
  </si>
  <si>
    <r>
      <rPr>
        <sz val="11"/>
        <rFont val="微软雅黑"/>
        <charset val="134"/>
      </rPr>
      <t>2.3.</t>
    </r>
    <r>
      <rPr>
        <sz val="11"/>
        <rFont val="微软雅黑"/>
        <charset val="134"/>
      </rPr>
      <t>11</t>
    </r>
  </si>
  <si>
    <t>机器狗管理</t>
  </si>
  <si>
    <t>2.4</t>
  </si>
  <si>
    <t>设备管控</t>
  </si>
  <si>
    <t>设备台账</t>
  </si>
  <si>
    <t>1. 设备类型管理
2. 设备信息检索
3. 设备基本信息
4. 巡检记录
5. 维修记录
6. 保养记录
7. 告警记录
8. 设备状态管理
9. 生成及导出二维码
10. 生命期驱动</t>
  </si>
  <si>
    <t>利旧设备专项管理</t>
  </si>
  <si>
    <t>1. 利旧设备标识
2. 利旧设备状态跟踪
3. 利旧设备改造记录</t>
  </si>
  <si>
    <t>报修管理</t>
  </si>
  <si>
    <t>1. 报修创建
2. 报修处置流程查看
3. 报修内容导出
4. 报修信息查询</t>
  </si>
  <si>
    <t>维修管理</t>
  </si>
  <si>
    <t>1. 维修任务创建
2. 维修调度任务自动生成
3. 活动任务
4. 历史任务
5. 维修记录
6. 维修流程审批
7. 维修信息查询</t>
  </si>
  <si>
    <t>保养管理</t>
  </si>
  <si>
    <t>1. 保养规则自定义
2. 保养任务自动下发
3. 保养结果查看
4. 保养信息查询
5. 保养信息导出</t>
  </si>
  <si>
    <t>备件管理</t>
  </si>
  <si>
    <t>1. 备件入库
2. 备件出库
3. 备件台账
4. 备件筛选
5. 备件查询. 导出
6. 低库存提醒</t>
  </si>
  <si>
    <t>故障管理</t>
  </si>
  <si>
    <t>1. 故障登记
2. 故障上报
3. 故障台账
4. 故障筛选
5. 故障查询. 导出
6. 故障处置
7. 故障验收
8. 故障统计</t>
  </si>
  <si>
    <t>全生命周期管理</t>
  </si>
  <si>
    <t>1. 设备信息检索
2. 设备信息展示
3. 巡检记录
4. 报修记录
5. 维修记录
6. 保养记录. 
7. 设备运行状态监管
8. 设备故障记录</t>
  </si>
  <si>
    <t>多维度报表</t>
  </si>
  <si>
    <t>1. 运行报表
2. 维护报表
3. 故障报表
4. 能耗报表
5. 备品备件报表
6. 自定义报表</t>
  </si>
  <si>
    <t>综合评价</t>
  </si>
  <si>
    <t>1. 设备故障率
2. 设备MTBF
3. 设备MTTR(h)
4. 设备筛选. 搜索
5.趋势分析
6.设备性能对比
7.预测分析</t>
  </si>
  <si>
    <t>2.5</t>
  </si>
  <si>
    <t>安全管控</t>
  </si>
  <si>
    <t>安全管理</t>
  </si>
  <si>
    <t>1. 安全制度管理
2. 安全培训
3. 隐患排查
4. 特种设备与作业许可管理 
5. 安全事故管理</t>
  </si>
  <si>
    <t xml:space="preserve">人员安全监控 </t>
  </si>
  <si>
    <t>1. 危险区域设置与查询
2. 人员异常行为AI识别
3. 作业区域管控
4.高空作业监测
5.作业时长监控
6.紧急求助响应
7.异常告警</t>
  </si>
  <si>
    <t>环境安全监控</t>
  </si>
  <si>
    <t>1. 实时图表监控
2. 污染自动治理联动
3. 历史趋势专题分析</t>
  </si>
  <si>
    <t>火灾自动报警监测</t>
  </si>
  <si>
    <t>1. 实时监测
2. 超标告警
3. 历史趋势专题分析</t>
  </si>
  <si>
    <t>接入</t>
  </si>
  <si>
    <t>电气安全监控</t>
  </si>
  <si>
    <t>1. 电气系统温度实时监测
2. 剩余电流值实时监测
3. 超标告警
4. 历史趋势专题分析</t>
  </si>
  <si>
    <t>消防设备电源监控</t>
  </si>
  <si>
    <t>智能充电桩监控</t>
  </si>
  <si>
    <t>周界安防监控</t>
  </si>
  <si>
    <t>1. 实时监测
2. 超标告警
3. 联动处置
4.历史趋势专题分析</t>
  </si>
  <si>
    <t>光伏发电系统监控</t>
  </si>
  <si>
    <t>门禁系统监控</t>
  </si>
  <si>
    <r>
      <rPr>
        <sz val="11"/>
        <rFont val="微软雅黑"/>
        <charset val="134"/>
      </rPr>
      <t xml:space="preserve">1. 实时监测
2. 联动处置
</t>
    </r>
    <r>
      <rPr>
        <sz val="11"/>
        <rFont val="微软雅黑"/>
        <charset val="134"/>
      </rPr>
      <t>3</t>
    </r>
    <r>
      <rPr>
        <sz val="11"/>
        <rFont val="微软雅黑"/>
        <charset val="134"/>
      </rPr>
      <t>.历史趋势专题分析</t>
    </r>
  </si>
  <si>
    <t>停车系统监控</t>
  </si>
  <si>
    <t>1. 实时监测
2. 异常告警
3. 联动处置
4.历史趋势专题分析</t>
  </si>
  <si>
    <t>在线巡查系统监控</t>
  </si>
  <si>
    <r>
      <rPr>
        <sz val="11"/>
        <rFont val="微软雅黑"/>
        <charset val="134"/>
      </rPr>
      <t>1. 数据</t>
    </r>
    <r>
      <rPr>
        <sz val="11"/>
        <rFont val="微软雅黑"/>
        <charset val="134"/>
      </rPr>
      <t>/任务</t>
    </r>
    <r>
      <rPr>
        <sz val="11"/>
        <rFont val="微软雅黑"/>
        <charset val="134"/>
      </rPr>
      <t>监测
2. 异常告警
3. 联动处置
4.历史趋势专题分析</t>
    </r>
  </si>
  <si>
    <t>危废车间可燃气体监控</t>
  </si>
  <si>
    <t>AI Agent安全管控</t>
  </si>
  <si>
    <t>1. 数据安全
2. 权限安全
3. 行为决策安全
4.环境运维安全</t>
  </si>
  <si>
    <t>安全预警与流转</t>
  </si>
  <si>
    <t>1. 预警分级管理
2. 预警通知与流转</t>
  </si>
  <si>
    <t>应急管理</t>
  </si>
  <si>
    <t>1.应急资源管理
2.应急联动处置
3.应急演练管理</t>
  </si>
  <si>
    <t>安全统计与分析</t>
  </si>
  <si>
    <t>1. 安全数据统计报表（日/周 / 月报表、专项报表、合规报表）
2. 安全数据分析与优化建议（风险趋势分析、隐患根源分析、安全绩效分析、优化建议）</t>
  </si>
  <si>
    <t>2.6</t>
  </si>
  <si>
    <t>成本管控</t>
  </si>
  <si>
    <t>能耗管理</t>
  </si>
  <si>
    <t>1. 超限监测
2. 能耗报表
3. 能耗分析
4. 能耗热力图</t>
  </si>
  <si>
    <t>药耗管理</t>
  </si>
  <si>
    <t>1. 药耗填报
2. 吨水药耗计算
3. 药耗总量计算
4. 药耗报表</t>
  </si>
  <si>
    <t>读取/填报</t>
  </si>
  <si>
    <t>成本录入</t>
  </si>
  <si>
    <t>1. 成本录入及编辑
2. 成本筛选. 模糊搜索
3. 成本查询. 导出</t>
  </si>
  <si>
    <t>AI自动读取</t>
  </si>
  <si>
    <t>成本统计与分析</t>
  </si>
  <si>
    <t>1.成本统计报表（动汇总人工、燃油、药剂耗材、设备折旧、维修、作业服务等各类环卫成本数据）
2. 成本分析（成本结构分析、作业成本分析）</t>
  </si>
  <si>
    <t>2.7</t>
  </si>
  <si>
    <t>人员管控</t>
  </si>
  <si>
    <t>人员档案</t>
  </si>
  <si>
    <t>1. 人员信息录入
2. 人员信息编辑
3. 人员信息筛选. 查询
4. 隐私保护</t>
  </si>
  <si>
    <t>培训管理</t>
  </si>
  <si>
    <t>1. 技能档案
2.培训课程
3.培训记录</t>
  </si>
  <si>
    <t>考试管理</t>
  </si>
  <si>
    <t>1. 题库管理
2. 试卷模板
3. 考试计划
4. 在线考试
5. 查询统计
6. 成绩查询</t>
  </si>
  <si>
    <t xml:space="preserve"> 绩效考核</t>
  </si>
  <si>
    <t>1. 考勤与轨迹管理
2. 绩效考核</t>
  </si>
  <si>
    <t>人员统计与分析</t>
  </si>
  <si>
    <t>1. 考勤报表
2. 作业绩效报表
3.培训报表
4.自定义报表</t>
  </si>
  <si>
    <t>2.8</t>
  </si>
  <si>
    <t>车辆管控</t>
  </si>
  <si>
    <t>车辆档案</t>
  </si>
  <si>
    <t>1. 车辆信息建档
2. 车辆分类管理
3. 利旧车辆专项管理
4. 档案更新与维护</t>
  </si>
  <si>
    <t>车辆状态监测</t>
  </si>
  <si>
    <t>1.监测车辆位置
2.故障预警与维保提醒</t>
  </si>
  <si>
    <t>车辆维保管理</t>
  </si>
  <si>
    <t>1.监维护计划制定
2.保养提醒与通知
3.维修工单管理
4.维保过程记录
5.维保效果验证
6.配件管理联动</t>
  </si>
  <si>
    <t>车辆能耗与费用管理</t>
  </si>
  <si>
    <t>1.加油 / 充电管理
2.能耗数据统计
3.费用统计分析
4.能耗优化建议</t>
  </si>
  <si>
    <t>车辆安全监管</t>
  </si>
  <si>
    <t>1.违章行为记录
2.车辆安全评分</t>
  </si>
  <si>
    <t>车辆数据统计报表</t>
  </si>
  <si>
    <t>1.运行报表
2.维保报表
3.能耗报表
4.安全报表</t>
  </si>
  <si>
    <r>
      <rPr>
        <sz val="11"/>
        <rFont val="微软雅黑"/>
        <charset val="134"/>
      </rPr>
      <t>2</t>
    </r>
    <r>
      <rPr>
        <sz val="11"/>
        <rFont val="微软雅黑"/>
        <charset val="134"/>
      </rPr>
      <t>.9</t>
    </r>
  </si>
  <si>
    <t>知识管理</t>
  </si>
  <si>
    <t>1. 文件上传
2. 文件下载
3. 文件删除
4. 文件查询
5.RAG外接
6.统计分析</t>
  </si>
  <si>
    <r>
      <rPr>
        <sz val="11"/>
        <rFont val="微软雅黑"/>
        <charset val="134"/>
      </rPr>
      <t>2.</t>
    </r>
    <r>
      <rPr>
        <sz val="11"/>
        <rFont val="微软雅黑"/>
        <charset val="134"/>
      </rPr>
      <t>10</t>
    </r>
  </si>
  <si>
    <t>碳排放管理系统</t>
  </si>
  <si>
    <t>建筑能效管理</t>
  </si>
  <si>
    <t>1.数据监测
2.异常告警
3.历史及趋势分析</t>
  </si>
  <si>
    <t>费用含在生产管控中</t>
  </si>
  <si>
    <t>碳排放管理</t>
  </si>
  <si>
    <t>1.碳排放数据采集与接入
2.碳排放核算与计量
3.碳排放统计分析
4.碳减排目标与计划管理
5.碳排放监测与预警
6.碳资产管理与交易</t>
  </si>
  <si>
    <r>
      <rPr>
        <sz val="11"/>
        <rFont val="微软雅黑"/>
        <charset val="134"/>
      </rPr>
      <t>2.</t>
    </r>
    <r>
      <rPr>
        <sz val="11"/>
        <rFont val="微软雅黑"/>
        <charset val="134"/>
      </rPr>
      <t>11</t>
    </r>
  </si>
  <si>
    <t>辅助决策系统</t>
  </si>
  <si>
    <t>运营效率分析</t>
  </si>
  <si>
    <t>1.垃圾处理效率诊断
2.资源配置优化
3.转运路线优化分析
4.多品类运营协同分析</t>
  </si>
  <si>
    <t>AI判断</t>
  </si>
  <si>
    <t>设备性能分析</t>
  </si>
  <si>
    <t>1.设备运行效率对比
2.设备故障预测
3.能耗优化分析
4.备件消耗分析</t>
  </si>
  <si>
    <t>环境治理分析</t>
  </si>
  <si>
    <t>1.污染趋势预测
2.治理设备效率分析
3.作业与污染关联分析
4.环保合规分析</t>
  </si>
  <si>
    <t>安全风险分析</t>
  </si>
  <si>
    <t>1.安全风险趋势分析
2.隐患根源分析
3.安全培训效果分析
4.应急处置效果分析</t>
  </si>
  <si>
    <t>决策建议推送</t>
  </si>
  <si>
    <t>1.智能推荐
2.个性化推送
3建议跟踪</t>
  </si>
  <si>
    <r>
      <rPr>
        <sz val="11"/>
        <rFont val="微软雅黑"/>
        <charset val="134"/>
      </rPr>
      <t>2.1</t>
    </r>
    <r>
      <rPr>
        <sz val="11"/>
        <rFont val="微软雅黑"/>
        <charset val="134"/>
      </rPr>
      <t>2</t>
    </r>
  </si>
  <si>
    <t>资产管控</t>
  </si>
  <si>
    <t>库房管理</t>
  </si>
  <si>
    <t>1. 库存台账管理
2. 出入库记录管理
3. 出库/入库操作
4. 盘库管理
5. 调拨/归还/领用/变更</t>
  </si>
  <si>
    <t>合同管理</t>
  </si>
  <si>
    <t>1. 合同信息录入
2. 合同内容编辑
3. 合同筛选. 模糊搜索
4. 合同到期提醒
5. 文件上传</t>
  </si>
  <si>
    <t>采购申请</t>
  </si>
  <si>
    <t>1. 采购单列表
2. 采购单详情 
3. 新建采购单
4. 自定义审批流程
5. 采购单修改，删除，撤销
6. 采购单筛选. 模糊搜索</t>
  </si>
  <si>
    <t>含采购审批流程定制</t>
  </si>
  <si>
    <t>供应商管理</t>
  </si>
  <si>
    <t>1.供应商管理
2.供应商品管理</t>
  </si>
  <si>
    <r>
      <rPr>
        <sz val="11"/>
        <rFont val="微软雅黑"/>
        <charset val="134"/>
      </rPr>
      <t>2.1</t>
    </r>
    <r>
      <rPr>
        <sz val="11"/>
        <rFont val="微软雅黑"/>
        <charset val="134"/>
      </rPr>
      <t>3</t>
    </r>
  </si>
  <si>
    <t>视频管理</t>
  </si>
  <si>
    <t>1. 实时监控管理
2. 录像回放管理</t>
  </si>
  <si>
    <r>
      <rPr>
        <sz val="11"/>
        <rFont val="微软雅黑"/>
        <charset val="134"/>
      </rPr>
      <t>2.1</t>
    </r>
    <r>
      <rPr>
        <sz val="11"/>
        <rFont val="微软雅黑"/>
        <charset val="134"/>
      </rPr>
      <t>4</t>
    </r>
  </si>
  <si>
    <t>公告栏</t>
  </si>
  <si>
    <t>1. 公告编辑
2. 公告发布
3. 公告查看
4. 公告筛选
5. 公告搜索</t>
  </si>
  <si>
    <r>
      <rPr>
        <sz val="11"/>
        <rFont val="微软雅黑"/>
        <charset val="134"/>
      </rPr>
      <t>2.1</t>
    </r>
    <r>
      <rPr>
        <sz val="11"/>
        <rFont val="微软雅黑"/>
        <charset val="134"/>
      </rPr>
      <t>5</t>
    </r>
  </si>
  <si>
    <t>公众监督</t>
  </si>
  <si>
    <t>通过微信公众号、小程序接收社会公众监督。</t>
  </si>
  <si>
    <r>
      <rPr>
        <sz val="11"/>
        <rFont val="微软雅黑"/>
        <charset val="134"/>
      </rPr>
      <t>2.16</t>
    </r>
  </si>
  <si>
    <t>AI助手</t>
  </si>
  <si>
    <t>智能问询；设备智能预警；数据智能分析；语音/文字交互。</t>
  </si>
  <si>
    <r>
      <rPr>
        <sz val="11"/>
        <rFont val="微软雅黑"/>
        <charset val="134"/>
      </rPr>
      <t>2.17</t>
    </r>
  </si>
  <si>
    <t>系统管理</t>
  </si>
  <si>
    <t>用户管理</t>
  </si>
  <si>
    <t>1. 角色管理
2. 授权设置
3. 分配设置
4. 账户设置
5. 新增/修改
6. 资源授权设置
7. 组织机构设置
8. 新建修改设置</t>
  </si>
  <si>
    <t>配置管理</t>
  </si>
  <si>
    <t>1. 常规参数设置
2. 水质标准参数设置
3. 值班室设置
4. 节假日设置
5. 仓库设置
6. IOS二维码管理
7. 告警规则
8. 物资类型
9.人员设置（工种. 学历）</t>
  </si>
  <si>
    <t>接口服务监控</t>
  </si>
  <si>
    <t>1.各子系统数据接口实施监控</t>
  </si>
  <si>
    <t>资源管理</t>
  </si>
  <si>
    <t>1. 地域资源设置
2. 站点资源设置
3. 站点组态图
4. 站点信息管理</t>
  </si>
  <si>
    <t>日志管理</t>
  </si>
  <si>
    <t>1. 日志信息展示
2. 日志导出
3. 检索筛选</t>
  </si>
  <si>
    <t>下载</t>
  </si>
  <si>
    <t>1. 手机APP二维码展示</t>
  </si>
  <si>
    <t>三. 移动端</t>
  </si>
  <si>
    <t>3.1</t>
  </si>
  <si>
    <t>1. 公告展示</t>
  </si>
  <si>
    <t>3.2</t>
  </si>
  <si>
    <t>我的任务</t>
  </si>
  <si>
    <t>1. 待办任务
2. 已办任务
3. 超时任务
4. 任务提醒</t>
  </si>
  <si>
    <t>3.3</t>
  </si>
  <si>
    <t>工艺监控</t>
  </si>
  <si>
    <t>1. 工艺组态图展示
2. 垃圾转运量曲线
3. 垃圾转运量报表
4. 设备状态展示
5. 设备远程控制
6. 实时视频</t>
  </si>
  <si>
    <t>3.4</t>
  </si>
  <si>
    <t>巡检管理</t>
  </si>
  <si>
    <t>1. 巡检任务查看
2. 巡检任务执行
3. 巡检异常上报</t>
  </si>
  <si>
    <t>3.5</t>
  </si>
  <si>
    <t>告警查询</t>
  </si>
  <si>
    <t>1. 当前告警状况查看
2. 告警等级/名称查询</t>
  </si>
  <si>
    <t>3.6</t>
  </si>
  <si>
    <t>1. 交班操作
2. 接班操作
3. 接班事项确认</t>
  </si>
  <si>
    <t>3.7</t>
  </si>
  <si>
    <t>设备管理</t>
  </si>
  <si>
    <t>1. 设备扫码
2. 设备信息查询
3. 设备信息编辑
4. 设备入库
5. 生命期驱动
6. 库存预警提醒</t>
  </si>
  <si>
    <t>3.8</t>
  </si>
  <si>
    <t>1. 保养待办任务处理. 结果上报
2. 保养已办任务查看</t>
  </si>
  <si>
    <t>3.9</t>
  </si>
  <si>
    <t>在线报修</t>
  </si>
  <si>
    <t>1. 附近厂站定位
2. 报修内容创建</t>
  </si>
  <si>
    <t>3.10</t>
  </si>
  <si>
    <t>1. 制度查看
2. 安全任务执行
3. 任务闭环管理
4. 隐患统计分析</t>
  </si>
  <si>
    <t>3.11</t>
  </si>
  <si>
    <t>药耗填报</t>
  </si>
  <si>
    <t>1. 药耗填报操作</t>
  </si>
  <si>
    <t>3.12</t>
  </si>
  <si>
    <t>手动派单</t>
  </si>
  <si>
    <t>1. 派单任务创建
2. 待办任务查看
3. 已办任务查看</t>
  </si>
  <si>
    <t>3.13</t>
  </si>
  <si>
    <t>领用申请</t>
  </si>
  <si>
    <t>1. 发起申请
2. 申请进度查询
3. 申请工单查看</t>
  </si>
  <si>
    <t>3.14</t>
  </si>
  <si>
    <t>知识库</t>
  </si>
  <si>
    <t>1. 信息查询
2. 模糊搜索</t>
  </si>
  <si>
    <t>3.15</t>
  </si>
  <si>
    <t>通讯录</t>
  </si>
  <si>
    <t>1. 信息查看
2. 模糊搜索
3. 拨打电话</t>
  </si>
  <si>
    <t>3.16</t>
  </si>
  <si>
    <t>1. 用户信息查看
2. 站点收藏
3. 二维码下载
4. 密码修改</t>
  </si>
  <si>
    <t>3.17</t>
  </si>
  <si>
    <t>智能问询；设备智能预警；数据智能分析；辅助识别；辅助填报；语音/文字交互。</t>
  </si>
  <si>
    <t>四. PC端</t>
  </si>
  <si>
    <t>4.1</t>
  </si>
  <si>
    <t>设施设备3D模型</t>
  </si>
  <si>
    <t>1. 主要构筑物设施3D建模
2. 各工艺段工艺设备3D建模
3. 定制漫游路径
4. 设备动画效果</t>
  </si>
  <si>
    <t>建筑工程  
全部1-7#楼</t>
  </si>
  <si>
    <t>4.2</t>
  </si>
  <si>
    <t>数字孪生监控</t>
  </si>
  <si>
    <t>1.3D数字孪生展示
2. 虚拟巡检
3. 模拟推演（AI）
4. 应急疏散
5. 实时数据监控
6. 视频监控集成
7. 报警预警管理（AI识别展示）</t>
  </si>
  <si>
    <t>五. 数据管理服务</t>
  </si>
  <si>
    <t>5.1</t>
  </si>
  <si>
    <t>数据管理</t>
  </si>
  <si>
    <t>多源数据汇聚；数据清洗与治理；数据分析；数据权限管控；数据共享交互</t>
  </si>
  <si>
    <t>5.2</t>
  </si>
  <si>
    <t>应用支撑服务</t>
  </si>
  <si>
    <t>5.2.1</t>
  </si>
  <si>
    <t>统一认证服务</t>
  </si>
  <si>
    <t>5.2.2</t>
  </si>
  <si>
    <t>工作流引擎</t>
  </si>
  <si>
    <t>5.2.3</t>
  </si>
  <si>
    <t>日志服务</t>
  </si>
  <si>
    <t>5.2.4</t>
  </si>
  <si>
    <t>知识图谱服务</t>
  </si>
  <si>
    <t>5.2.5</t>
  </si>
  <si>
    <t>AI算法引擎</t>
  </si>
  <si>
    <r>
      <rPr>
        <sz val="11"/>
        <rFont val="微软雅黑"/>
        <charset val="134"/>
      </rPr>
      <t>1</t>
    </r>
    <r>
      <rPr>
        <sz val="11"/>
        <rFont val="微软雅黑"/>
        <charset val="134"/>
      </rPr>
      <t>.AI图像识别
2.车辆智能派位算法
3.运力预测模型
4.设备故障预测模型</t>
    </r>
  </si>
  <si>
    <t>5.2.6</t>
  </si>
  <si>
    <t>大模型服务</t>
  </si>
  <si>
    <r>
      <rPr>
        <sz val="11"/>
        <rFont val="微软雅黑"/>
        <charset val="134"/>
      </rPr>
      <t>35</t>
    </r>
    <r>
      <rPr>
        <sz val="11"/>
        <rFont val="微软雅黑"/>
        <charset val="134"/>
      </rPr>
      <t>B模型</t>
    </r>
  </si>
  <si>
    <t>大模型集成能力构建</t>
  </si>
  <si>
    <t>1.模型授权（优先通用）
2.知识库构建实施，RAG（规范 / 流程 / 故障 / 预案）
3.提示词工程</t>
  </si>
  <si>
    <t>模型训练：云端</t>
  </si>
  <si>
    <t>模型和平台集成</t>
  </si>
  <si>
    <t>1.多模态接口集成
2.私有数据脱敏
3.UI/UX交互开发</t>
  </si>
  <si>
    <t>5.2.7</t>
  </si>
  <si>
    <t>智能体agent开发</t>
  </si>
  <si>
    <t>1.总控智能体开发
2.安全智能体开发
3.调度智能体开发
4.能源智能体开发
5.运营智能体开发</t>
  </si>
  <si>
    <t>5.3</t>
  </si>
  <si>
    <t>数据接口服务</t>
  </si>
  <si>
    <t>5.3.1</t>
  </si>
  <si>
    <t>自控接口</t>
  </si>
  <si>
    <t>自控数据接口开发</t>
  </si>
  <si>
    <t>项</t>
  </si>
  <si>
    <t>5.3.2</t>
  </si>
  <si>
    <t>摄像机接口</t>
  </si>
  <si>
    <t>与视频平台开发和调试接口</t>
  </si>
  <si>
    <t>5.3.3</t>
  </si>
  <si>
    <t>OPC server</t>
  </si>
  <si>
    <t>数据采集软件</t>
  </si>
  <si>
    <t>5.3.4</t>
  </si>
  <si>
    <t>接口定制开发</t>
  </si>
  <si>
    <t>5.3.5</t>
  </si>
  <si>
    <t>5.3.6</t>
  </si>
  <si>
    <t>消防设备电源系统</t>
  </si>
  <si>
    <t>5.3.7</t>
  </si>
  <si>
    <t>智能充电桩系统</t>
  </si>
  <si>
    <t>5.3.8</t>
  </si>
  <si>
    <t>光伏发电系统</t>
  </si>
  <si>
    <t>5.3.9</t>
  </si>
  <si>
    <t>车辆定位系统</t>
  </si>
  <si>
    <t>5.3.10</t>
  </si>
  <si>
    <t>停车管理系统</t>
  </si>
  <si>
    <t>5.3.11</t>
  </si>
  <si>
    <t>门禁/考勤系统</t>
  </si>
  <si>
    <t>5.3.12</t>
  </si>
  <si>
    <t>周界安防系统</t>
  </si>
  <si>
    <t>5.3.13</t>
  </si>
  <si>
    <t>电子巡查系统</t>
  </si>
  <si>
    <t>5.3.14</t>
  </si>
  <si>
    <t>建筑能效管理系统</t>
  </si>
  <si>
    <t>5.3.15</t>
  </si>
  <si>
    <t>危废车间可燃气体监测</t>
  </si>
  <si>
    <t>5.3.16</t>
  </si>
  <si>
    <t>5.3.17</t>
  </si>
  <si>
    <t>5.3.18</t>
  </si>
  <si>
    <t>巡检机器人系统</t>
  </si>
  <si>
    <t>5.3.19</t>
  </si>
  <si>
    <t>无人机系统</t>
  </si>
  <si>
    <t>5.3.20</t>
  </si>
  <si>
    <t>无人清扫车</t>
  </si>
  <si>
    <t>5.3.21</t>
  </si>
  <si>
    <t>机器狗</t>
  </si>
  <si>
    <t>5.3.22</t>
  </si>
  <si>
    <t>天气预报</t>
  </si>
  <si>
    <t>5.3.23</t>
  </si>
  <si>
    <t>对外数据共享</t>
  </si>
  <si>
    <t>六. 系统实施</t>
  </si>
  <si>
    <t>6.1</t>
  </si>
  <si>
    <t>系统部署</t>
  </si>
  <si>
    <r>
      <rPr>
        <sz val="11"/>
        <rFont val="微软雅黑"/>
        <charset val="134"/>
      </rPr>
      <t xml:space="preserve">1. 前期环境准备（服务器、操作系统、数据库、中间件的安装与配置，防火墙、端口、权限等安全策略部署）
2. 软件本体部署
3. 数据库部署
4. 大模型部署
</t>
    </r>
    <r>
      <rPr>
        <sz val="11"/>
        <rFont val="微软雅黑"/>
        <charset val="134"/>
      </rPr>
      <t>5.</t>
    </r>
    <r>
      <rPr>
        <sz val="11"/>
        <rFont val="微软雅黑"/>
        <charset val="134"/>
      </rPr>
      <t>硬件/第三方系统集成对接部署</t>
    </r>
  </si>
  <si>
    <t>6.2</t>
  </si>
  <si>
    <t>系统调测</t>
  </si>
  <si>
    <t>1. 基础功能调测
2. 数据调测
3. 性能与稳定性调测
4. 安全调测
5. 业务流程联调</t>
  </si>
  <si>
    <t>6.3</t>
  </si>
  <si>
    <t>系统集成</t>
  </si>
  <si>
    <t>1. 各子系统接入数据梳理、库表配置、页面配置
2. 数据验证</t>
  </si>
  <si>
    <t>软件研发合计</t>
  </si>
  <si>
    <t>七. 运维服务</t>
  </si>
  <si>
    <t>7.1</t>
  </si>
  <si>
    <t>运维服务</t>
  </si>
  <si>
    <t>日常监控、备份恢复、配置管理；答疑培训；及时排查解决故障、优化系统性能与安全</t>
  </si>
  <si>
    <t>年</t>
  </si>
  <si>
    <t>合计</t>
  </si>
  <si>
    <t>参数</t>
  </si>
  <si>
    <t>单价（元）</t>
  </si>
  <si>
    <t>合价（元）</t>
  </si>
  <si>
    <t>1</t>
  </si>
  <si>
    <t>IT基础设施</t>
  </si>
  <si>
    <t>图形工作站</t>
  </si>
  <si>
    <t>参考配置：
CPU i9 13900kf
主板 华硕z790
显卡 GeForce RTX 5080 16G 显存
内存 DDR4 32G 3200MHz以上
硬盘 固态1T
电源1000w</t>
  </si>
  <si>
    <t>1.2</t>
  </si>
  <si>
    <t>数据库及应用服务器</t>
  </si>
  <si>
    <t>内存16GB*4、256G固+2T*2、2*银牌(16核)、双电</t>
  </si>
  <si>
    <t>1.3</t>
  </si>
  <si>
    <t>AI推理服务器</t>
  </si>
  <si>
    <t>参考配置：4*昇腾 910B 64GB ；96 核 / 512GB/10TB NVMe；25GbE 双口光口</t>
  </si>
  <si>
    <t>1.4</t>
  </si>
  <si>
    <t>大数据服务器</t>
  </si>
  <si>
    <t>大数据分析服务器</t>
  </si>
  <si>
    <t>1.5</t>
  </si>
  <si>
    <t>系统集成实施</t>
  </si>
  <si>
    <t>线缆、辅材及施工；集成调测等</t>
  </si>
  <si>
    <t>2</t>
  </si>
  <si>
    <t>智能工牌系统</t>
  </si>
  <si>
    <t>人员定位工牌</t>
  </si>
  <si>
    <t>支持人员定位、静置监测、SOS一键报警、蜂鸣、指示灯、6个月免充电、危险源预警提示。</t>
  </si>
  <si>
    <t>个</t>
  </si>
  <si>
    <t>主基站</t>
  </si>
  <si>
    <t>支持移动网络/wifi/以太网等多模网络、可组网、断电续航2小时、防水；
具有扫描附近人员定位信标并上传数据到服务器的能力。</t>
  </si>
  <si>
    <t>作业面基站</t>
  </si>
  <si>
    <t>30个月免充电、定位标签扫描、指示灯；主要用于提升人员定位精度和覆盖盲区信号，需配套附近主基站进行数据通信传输。</t>
  </si>
  <si>
    <t>危险源基站</t>
  </si>
  <si>
    <t>30个月免充电、定位标签扫描、指示灯；
主要用于人员安全标签靠近时，触发软件和硬件告警。</t>
  </si>
  <si>
    <t>软件平台私有化部署</t>
  </si>
  <si>
    <t>功能包含人员工时统计、今日人员定位统计、人员历史位置查看、人员轨迹还原、安全管理、告警策略配置等功能</t>
  </si>
  <si>
    <t>系统实施集成</t>
  </si>
  <si>
    <t>3</t>
  </si>
  <si>
    <t>环境监测系统</t>
  </si>
  <si>
    <r>
      <rPr>
        <sz val="11"/>
        <rFont val="微软雅黑"/>
        <charset val="134"/>
      </rPr>
      <t>臭气监测（NH</t>
    </r>
    <r>
      <rPr>
        <sz val="11"/>
        <rFont val="Arial Unicode MS"/>
        <charset val="134"/>
      </rPr>
      <t>₃</t>
    </r>
    <r>
      <rPr>
        <sz val="11"/>
        <rFont val="微软雅黑"/>
        <charset val="134"/>
      </rPr>
      <t>）</t>
    </r>
  </si>
  <si>
    <t>测量范围0-100 OU，精度≤0.1 OU，IP66防护，抗腐蚀，支持连续监测、数据实时上传，适配潮湿异味环境。</t>
  </si>
  <si>
    <t xml:space="preserve">主机IP54、检测仪IP66防护 </t>
  </si>
  <si>
    <r>
      <rPr>
        <sz val="11"/>
        <rFont val="微软雅黑"/>
        <charset val="134"/>
      </rPr>
      <t>臭气监测（H</t>
    </r>
    <r>
      <rPr>
        <sz val="11"/>
        <rFont val="Arial Unicode MS"/>
        <charset val="134"/>
      </rPr>
      <t>₂</t>
    </r>
    <r>
      <rPr>
        <sz val="11"/>
        <rFont val="微软雅黑"/>
        <charset val="134"/>
      </rPr>
      <t>S）</t>
    </r>
  </si>
  <si>
    <t>粉尘监测</t>
  </si>
  <si>
    <t>同时监测PM2.5/PM10，量程0-1000μg/m³，精度≤1μg/m³，IP66防护，防尘防堵，支持联动喷淋设备。</t>
  </si>
  <si>
    <t xml:space="preserve">主机IP54、检测仪IP66防护  </t>
  </si>
  <si>
    <t>噪声监测</t>
  </si>
  <si>
    <t>测量范围30-130dB(A)，精度±1dB(A)，IP54防护，抗干扰，支持连续监测、数据实时上传。</t>
  </si>
  <si>
    <t>主机IP54防护</t>
  </si>
  <si>
    <t>沼气监测</t>
  </si>
  <si>
    <t>测量范围0-10%VOL，精度≤0.1%VOL，防爆等级Ex d IIB T4，IP66防护，支持超标声光告警。</t>
  </si>
  <si>
    <t>IP66防护</t>
  </si>
  <si>
    <t>后端支撑设备</t>
  </si>
  <si>
    <t>数采仪、服务器等</t>
  </si>
  <si>
    <t>4</t>
  </si>
  <si>
    <t>PreciseAirs D-P精风系统</t>
  </si>
  <si>
    <t>须配套变频风机</t>
  </si>
  <si>
    <t>高精度压力传感器</t>
  </si>
  <si>
    <t>高精度：全补偿温度范围内±0.01%FS；高稳定性：±100ppm FS/年；宽温范围：-55°C至125°C；适用于恶劣环境恶劣介质压力测量</t>
  </si>
  <si>
    <t>后台支持系统</t>
  </si>
  <si>
    <t>数据采集、处理；联动控制；模型算法</t>
  </si>
  <si>
    <t>4.3</t>
  </si>
  <si>
    <t>5</t>
  </si>
  <si>
    <t>PAC智能加药模块</t>
  </si>
  <si>
    <t>智能加药（PAC）模拟控制系统应用实时控制理念、数值模拟分析技术及动态控制，按需加药，实现出水水质稳定达标，优化优化渗沥液处理系统运行，进一步实现可持续的稳定达标与节能降耗。</t>
  </si>
  <si>
    <t>PAM智能加药模块</t>
  </si>
  <si>
    <t>智能加药（PAM）模拟控制系统应用实时控制理念、数值模拟分析技术及动态控制，按需加药，实现出水水质稳定达标，优化优化渗沥液处理系统运行，进一步实现可持续的稳定达标与节能降耗。</t>
  </si>
  <si>
    <t>碳源智能加药模块</t>
  </si>
  <si>
    <t>智能加药（碳源）模拟控制系统应用实时控制理念、数值模拟分析技术及动态控制，按需加药，实现出水水质稳定达标，优化优化渗沥液处理系统运行，进一步实现可持续的稳定达标与节能降耗。</t>
  </si>
  <si>
    <t>6</t>
  </si>
  <si>
    <t>AI识别系统</t>
  </si>
  <si>
    <t>工业级边缘 AI 智能小站</t>
  </si>
  <si>
    <t>参考配置：昇腾 310P；解码能力：40 路 1080P@30fps</t>
  </si>
  <si>
    <t>智能分析服务等</t>
  </si>
  <si>
    <t>7</t>
  </si>
  <si>
    <t>导轨式巡检机器人</t>
  </si>
  <si>
    <t>IP66防尘防腐，巡检速度0.1-0.5m/s，续航≥12小时，搭载4K高清摄像头、红外热成像仪、多气体传感器，支持自主巡航、故障自检、自动充电，导轨长度可定制，可对接后台管理平台。</t>
  </si>
  <si>
    <t>8</t>
  </si>
  <si>
    <t>IP67防尘防腐，4K高清摄像头，续航40分钟，最大飞行高度100米，支持自主巡航、智能异常识别，传输距离≥5公里，支持离线缓存。</t>
  </si>
  <si>
    <t>9</t>
  </si>
  <si>
    <t>L4级，清扫宽度不小于1.2米，续航≥6小时，支持自主清扫、洒水、避障，垃圾箱容量不小于1m³，可对接后台管理平台，具备自主充电、倾倒功能，搭载自动驾驶系统。</t>
  </si>
  <si>
    <t>10</t>
  </si>
  <si>
    <t>工业级巡检维修机器狗</t>
  </si>
  <si>
    <t>IP66防尘防腐，四足行走，续航≥6小时，搭载高清摄像头、激光雷达，支持自主巡检、异常检测，实时传输数据。，可对接后台管理平台</t>
  </si>
  <si>
    <t>11</t>
  </si>
  <si>
    <t>网络安全及等保三级</t>
  </si>
  <si>
    <t>防火墙</t>
  </si>
  <si>
    <t>标准1U设备，单电源；标配6个10/100/1000M千兆电接口及12个combo接口[每个Combo口为一对互斥的千兆口，即1个千兆SFP插槽（不含SFP模块）和1个千兆电口]；默认支持下一代防火墙访问控制、入侵防御、网络防病毒、上网行为及URL分类管理、流控和IPSec VPN模块；吞吐4G,最大并发100万，质保三年。</t>
  </si>
  <si>
    <t>台</t>
  </si>
  <si>
    <t>入侵防御</t>
  </si>
  <si>
    <t>2U上架设备，1个RJ-45 Console口，1个10/100/1000 Base-T带外管理口，1个10/100/1000 Base-T HA口，4个具备BYPASS功能的10/100/1000Base-T接口，1个网络接口扩展槽位，可选配天清NGIPS-B系列专用接口板卡及模块，2个USB口，单电源，质保三年，含三年入侵防御特征库升级授权。</t>
  </si>
  <si>
    <t>Web 应用防火墙</t>
  </si>
  <si>
    <t>利用已有防火墙</t>
  </si>
  <si>
    <t>日志审计</t>
  </si>
  <si>
    <t>1U标准机架式，单电源，6个千兆电口2个千兆光口，1个扩展槽位，2个USB接口，硬盘容量：32G minisata+2T SATA，默认支持30个审计对象授权，提供三年硬件维保服务。</t>
  </si>
  <si>
    <t>入侵检测</t>
  </si>
  <si>
    <t>1U上架设备（1个RJ-个 Console口，6个10/100/1000 Base-T接口，2个USB口，2个千兆光接口插槽（不包含光模块），2个万兆光口插槽（不包含光模块），支持2个扩展插槽，冗电，包含2T硬盘，含CS-PLUS软件，包含三年专用规则引擎授权授权，质保三年。</t>
  </si>
  <si>
    <t>堡垒机</t>
  </si>
  <si>
    <t>1U机架式软硬一体设备，专用硬件平台和安全操作系统，6个千兆电口，2个万兆光口，2个千兆光口，1个Console管理口，存储容量4TB，单电源，带液晶面板，2个扩展槽。最大支持600路字符会话或200路图形会话并发。包含50个被管资源数正式授权；免费赠送应用发布软件（需客户自备服务器、Windows Server操作系统与Windows 远程桌面授权）。质保三年。</t>
  </si>
  <si>
    <t>数据库审计</t>
  </si>
  <si>
    <t>审计一体机，1U上架专用设备，6电口（含1个管理口，1个HA口），1个接口扩展槽，1个RJ45串口，硬盘2T，单电源；默认3个被审计DB服务数，可扩充；含嵌入式审计软件一套；支持Oracle、SQL-Server、MySQL等数据库的审计。质保三年。</t>
  </si>
  <si>
    <t>终端杀毒</t>
  </si>
  <si>
    <t>标准网络版管理中心。系统服务端软件，提供防病毒策略管理、下发任务、病毒告警分析、报表等功能，可管理win系列客户端、Linux系列客户端，国产化系列客户端。可安装在Windows2008R2及以上操作系统、Win7sp1、Win10或 centos7.0、Redhat7.0 及以上操作系统。</t>
  </si>
  <si>
    <t>服务器终端；办公终端</t>
  </si>
  <si>
    <t>标准1U设备，单电源；标准配置6个10/100M/1000M自适应千兆电接口；默认支持下一代防火墙访问控制、入侵防御、网络防病毒、上网行为及URL分类管理、流控和IPSec VPN模块；质保三年。</t>
  </si>
  <si>
    <t xml:space="preserve">设备网接入&amp;监控网接入
</t>
  </si>
  <si>
    <t>11.10</t>
  </si>
  <si>
    <t>漏洞扫描</t>
  </si>
  <si>
    <t>1U设备，标配6个10/100/1000M Base-TX接口，1个RJ45 Console口，2个USB接口，另具备1个接口扩展插槽，可选配TJCS-UVS1010系列扩展板卡，单电源，主机漏扫功能开通，可扫描IP地址总数无限制，单任务最大可扫描100IP地址，并发扫描40IP地址。含三年漏洞库升级授权。质保三年。</t>
  </si>
  <si>
    <t>VPN</t>
  </si>
  <si>
    <t>标准1U机架式设备，1个RJ-45Console口，6个10/100/1000M自适应电口，1个网络接口扩展槽位，可选配专用接口板卡，2个USB口，交流单电源；SSL加解密吞吐120Mbps，推荐并发用户数300，实配并发用户授权需单独购买，IPSec加解密吞吐180Mbps，整机吞吐1.5Gbps；质保三年。</t>
  </si>
  <si>
    <t>11.12</t>
  </si>
  <si>
    <t>机房标准机柜</t>
  </si>
  <si>
    <t>42U标准机柜；含KVM切换器、机架式PDU，配置柜内托盘8片</t>
  </si>
  <si>
    <t>已有三台机柜，完全使用其中的一台，再增补一台</t>
  </si>
  <si>
    <t>等保三级测评服务</t>
  </si>
  <si>
    <r>
      <rPr>
        <sz val="11"/>
        <rFont val="微软雅黑"/>
        <charset val="134"/>
      </rPr>
      <t>11.13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</si>
</sst>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??_ ;_ @_ "/>
    <numFmt numFmtId="178" formatCode="_ * #,##0_ ;_ * \-#,##0_ ;_ * &quot;-&quot;??_ ;_ @_ 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4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1"/>
      <name val="Arial Unicode M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615466780602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  <xf numFmtId="0" fontId="0" fillId="0" borderId="0"/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right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left" vertical="center"/>
    </xf>
    <xf numFmtId="0" fontId="4" fillId="0" borderId="2" xfId="50" applyFont="1" applyFill="1" applyBorder="1" applyAlignment="1">
      <alignment horizontal="left" vertical="center"/>
    </xf>
    <xf numFmtId="0" fontId="1" fillId="0" borderId="2" xfId="50" applyFont="1" applyFill="1" applyBorder="1" applyAlignment="1">
      <alignment horizontal="left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left" vertical="center" wrapText="1"/>
    </xf>
    <xf numFmtId="0" fontId="5" fillId="0" borderId="2" xfId="50" applyFont="1" applyFill="1" applyBorder="1" applyAlignment="1">
      <alignment horizontal="left" vertical="center"/>
    </xf>
    <xf numFmtId="0" fontId="1" fillId="0" borderId="2" xfId="49" applyFont="1" applyFill="1" applyBorder="1" applyAlignment="1">
      <alignment horizontal="left" vertical="center" wrapText="1"/>
    </xf>
    <xf numFmtId="0" fontId="4" fillId="0" borderId="2" xfId="50" applyFont="1" applyFill="1" applyBorder="1" applyAlignment="1">
      <alignment vertical="center"/>
    </xf>
    <xf numFmtId="0" fontId="4" fillId="0" borderId="2" xfId="5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0" borderId="2" xfId="50" applyFont="1" applyFill="1" applyBorder="1" applyAlignment="1">
      <alignment horizontal="left" vertical="center"/>
    </xf>
    <xf numFmtId="0" fontId="1" fillId="0" borderId="2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8" fontId="3" fillId="0" borderId="0" xfId="0" applyNumberFormat="1" applyFont="1">
      <alignment vertic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/>
    </xf>
    <xf numFmtId="177" fontId="3" fillId="0" borderId="0" xfId="0" applyNumberFormat="1" applyFont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76" fontId="4" fillId="0" borderId="2" xfId="0" applyNumberFormat="1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zoomScale="115" zoomScaleNormal="115" workbookViewId="0">
      <selection activeCell="A2" sqref="A2"/>
    </sheetView>
  </sheetViews>
  <sheetFormatPr defaultColWidth="9" defaultRowHeight="14.4" outlineLevelRow="4" outlineLevelCol="7"/>
  <cols>
    <col min="2" max="2" width="16.6296296296296" customWidth="1"/>
    <col min="3" max="3" width="40" customWidth="1"/>
    <col min="4" max="4" width="14.75" customWidth="1"/>
  </cols>
  <sheetData>
    <row r="1" s="1" customFormat="1" ht="30.75" customHeight="1" spans="1:8">
      <c r="A1" s="65" t="s">
        <v>0</v>
      </c>
      <c r="B1" s="65"/>
      <c r="C1" s="65"/>
      <c r="D1" s="65"/>
      <c r="E1" s="65"/>
      <c r="F1" s="66"/>
      <c r="G1" s="66"/>
      <c r="H1" s="66"/>
    </row>
    <row r="2" ht="16.2" spans="1:8">
      <c r="A2" s="67" t="s">
        <v>1</v>
      </c>
      <c r="B2" s="68" t="s">
        <v>2</v>
      </c>
      <c r="C2" s="68" t="s">
        <v>3</v>
      </c>
      <c r="D2" s="68" t="s">
        <v>4</v>
      </c>
      <c r="E2" s="68" t="s">
        <v>5</v>
      </c>
    </row>
    <row r="3" ht="46.8" spans="1:8">
      <c r="A3" s="69">
        <v>1</v>
      </c>
      <c r="B3" s="70" t="s">
        <v>6</v>
      </c>
      <c r="C3" s="71" t="s">
        <v>7</v>
      </c>
      <c r="D3" s="72">
        <f>'1-智慧运营管理平台'!G172/10000</f>
        <v>1242.0654</v>
      </c>
      <c r="E3" s="71"/>
    </row>
    <row r="4" ht="31.2" spans="1:8">
      <c r="A4" s="69">
        <v>2</v>
      </c>
      <c r="B4" s="71" t="s">
        <v>8</v>
      </c>
      <c r="C4" s="71" t="s">
        <v>9</v>
      </c>
      <c r="D4" s="72">
        <f>'2-硬件支撑系统'!G55/10000</f>
        <v>902.933444444444</v>
      </c>
      <c r="E4" s="71"/>
    </row>
    <row r="5" ht="16.2" spans="1:8">
      <c r="A5" s="73" t="s">
        <v>10</v>
      </c>
      <c r="B5" s="74"/>
      <c r="C5" s="75"/>
      <c r="D5" s="76">
        <f>SUM(D3:D4)</f>
        <v>2144.99884444444</v>
      </c>
      <c r="E5" s="71"/>
    </row>
  </sheetData>
  <mergeCells count="2">
    <mergeCell ref="A1:E1"/>
    <mergeCell ref="A5:C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I176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" defaultRowHeight="15.6"/>
  <cols>
    <col min="1" max="1" width="7.37962962962963" style="24" customWidth="1"/>
    <col min="2" max="2" width="19.5" style="25" customWidth="1"/>
    <col min="3" max="3" width="33.1296296296296" style="25" customWidth="1"/>
    <col min="4" max="4" width="7" style="26" customWidth="1"/>
    <col min="5" max="5" width="6.75" style="26" customWidth="1"/>
    <col min="6" max="6" width="13.1296296296296" style="27" customWidth="1"/>
    <col min="7" max="7" width="15.25" style="27" customWidth="1"/>
    <col min="8" max="8" width="11.6296296296296" style="28" customWidth="1"/>
    <col min="9" max="9" width="5.62962962962963" style="1" customWidth="1"/>
    <col min="10" max="16384" width="9" style="1"/>
  </cols>
  <sheetData>
    <row r="1" ht="24" customHeight="1" spans="1:9">
      <c r="A1" s="6" t="s">
        <v>0</v>
      </c>
      <c r="B1" s="6"/>
      <c r="C1" s="6"/>
      <c r="D1" s="6"/>
      <c r="E1" s="6"/>
      <c r="F1" s="6"/>
      <c r="G1" s="6"/>
      <c r="H1" s="6"/>
    </row>
    <row r="2" ht="16.2" spans="1:9">
      <c r="A2" s="7" t="s">
        <v>1</v>
      </c>
      <c r="B2" s="8" t="s">
        <v>11</v>
      </c>
      <c r="C2" s="8" t="s">
        <v>12</v>
      </c>
      <c r="D2" s="9" t="s">
        <v>13</v>
      </c>
      <c r="E2" s="9" t="s">
        <v>14</v>
      </c>
      <c r="F2" s="29" t="s">
        <v>15</v>
      </c>
      <c r="G2" s="29" t="s">
        <v>16</v>
      </c>
      <c r="H2" s="9" t="s">
        <v>5</v>
      </c>
    </row>
    <row r="3" ht="16.2" spans="1:9">
      <c r="A3" s="30" t="s">
        <v>17</v>
      </c>
      <c r="B3" s="30"/>
      <c r="C3" s="31" t="s">
        <v>18</v>
      </c>
      <c r="D3" s="30"/>
      <c r="E3" s="30"/>
      <c r="F3" s="32"/>
      <c r="G3" s="32"/>
      <c r="H3" s="13"/>
    </row>
    <row r="4" ht="109.2" outlineLevel="1" spans="1:9">
      <c r="A4" s="11" t="s">
        <v>19</v>
      </c>
      <c r="B4" s="33" t="s">
        <v>20</v>
      </c>
      <c r="C4" s="34" t="s">
        <v>21</v>
      </c>
      <c r="D4" s="14" t="s">
        <v>22</v>
      </c>
      <c r="E4" s="15">
        <v>1</v>
      </c>
      <c r="F4" s="35">
        <v>398842</v>
      </c>
      <c r="G4" s="36">
        <f>F4*E4</f>
        <v>398842</v>
      </c>
      <c r="H4" s="13"/>
      <c r="I4" s="23"/>
    </row>
    <row r="5" ht="16.2" spans="1:9">
      <c r="A5" s="31" t="s">
        <v>23</v>
      </c>
      <c r="B5" s="31"/>
      <c r="C5" s="31"/>
      <c r="D5" s="31"/>
      <c r="E5" s="31"/>
      <c r="F5" s="35"/>
      <c r="G5" s="37">
        <f>SUM(G4)</f>
        <v>398842</v>
      </c>
      <c r="H5" s="13"/>
    </row>
    <row r="6" ht="16.2" spans="1:9">
      <c r="A6" s="38" t="s">
        <v>24</v>
      </c>
      <c r="B6" s="38"/>
      <c r="C6" s="39" t="s">
        <v>18</v>
      </c>
      <c r="D6" s="38"/>
      <c r="E6" s="38"/>
      <c r="F6" s="35"/>
      <c r="G6" s="32"/>
      <c r="H6" s="13"/>
    </row>
    <row r="7" ht="171.6" outlineLevel="1" spans="1:9">
      <c r="A7" s="11" t="s">
        <v>25</v>
      </c>
      <c r="B7" s="33" t="s">
        <v>26</v>
      </c>
      <c r="C7" s="34" t="s">
        <v>27</v>
      </c>
      <c r="D7" s="14" t="s">
        <v>22</v>
      </c>
      <c r="E7" s="15">
        <v>1</v>
      </c>
      <c r="F7" s="35">
        <v>177263</v>
      </c>
      <c r="G7" s="36">
        <f t="shared" ref="G7:G70" si="0">F7*E7</f>
        <v>177263</v>
      </c>
      <c r="H7" s="13"/>
    </row>
    <row r="8" ht="78" outlineLevel="1" spans="1:9">
      <c r="A8" s="11" t="s">
        <v>28</v>
      </c>
      <c r="B8" s="33" t="s">
        <v>29</v>
      </c>
      <c r="C8" s="40" t="s">
        <v>30</v>
      </c>
      <c r="D8" s="14" t="s">
        <v>22</v>
      </c>
      <c r="E8" s="15">
        <v>1</v>
      </c>
      <c r="F8" s="35">
        <v>717916</v>
      </c>
      <c r="G8" s="36">
        <f t="shared" si="0"/>
        <v>717916</v>
      </c>
      <c r="H8" s="13"/>
    </row>
    <row r="9" outlineLevel="1" spans="1:9">
      <c r="A9" s="11" t="s">
        <v>31</v>
      </c>
      <c r="B9" s="33" t="s">
        <v>32</v>
      </c>
      <c r="C9" s="40"/>
      <c r="D9" s="14"/>
      <c r="E9" s="15"/>
      <c r="F9" s="35"/>
      <c r="G9" s="36">
        <f t="shared" si="0"/>
        <v>0</v>
      </c>
      <c r="H9" s="13"/>
    </row>
    <row r="10" ht="140.4" hidden="1" outlineLevel="1" spans="1:9">
      <c r="A10" s="11"/>
      <c r="B10" s="41" t="s">
        <v>33</v>
      </c>
      <c r="C10" s="40" t="s">
        <v>34</v>
      </c>
      <c r="D10" s="14" t="s">
        <v>22</v>
      </c>
      <c r="E10" s="15">
        <v>1</v>
      </c>
      <c r="F10" s="35">
        <v>0</v>
      </c>
      <c r="G10" s="36">
        <f t="shared" si="0"/>
        <v>0</v>
      </c>
      <c r="H10" s="13"/>
    </row>
    <row r="11" ht="187.2" outlineLevel="1" spans="1:9">
      <c r="A11" s="11" t="s">
        <v>35</v>
      </c>
      <c r="B11" s="12" t="s">
        <v>36</v>
      </c>
      <c r="C11" s="42" t="s">
        <v>37</v>
      </c>
      <c r="D11" s="14" t="s">
        <v>22</v>
      </c>
      <c r="E11" s="15">
        <v>1</v>
      </c>
      <c r="F11" s="35">
        <v>88631</v>
      </c>
      <c r="G11" s="36">
        <f t="shared" si="0"/>
        <v>88631</v>
      </c>
      <c r="H11" s="13"/>
    </row>
    <row r="12" ht="78" outlineLevel="1" spans="1:9">
      <c r="A12" s="11" t="s">
        <v>38</v>
      </c>
      <c r="B12" s="12" t="s">
        <v>39</v>
      </c>
      <c r="C12" s="42" t="s">
        <v>40</v>
      </c>
      <c r="D12" s="14" t="s">
        <v>22</v>
      </c>
      <c r="E12" s="15">
        <v>1</v>
      </c>
      <c r="F12" s="35">
        <v>77552</v>
      </c>
      <c r="G12" s="36">
        <f t="shared" si="0"/>
        <v>77552</v>
      </c>
      <c r="H12" s="13"/>
    </row>
    <row r="13" ht="46.8" outlineLevel="1" spans="1:9">
      <c r="A13" s="11" t="s">
        <v>41</v>
      </c>
      <c r="B13" s="33" t="s">
        <v>42</v>
      </c>
      <c r="C13" s="40" t="s">
        <v>43</v>
      </c>
      <c r="D13" s="14" t="s">
        <v>22</v>
      </c>
      <c r="E13" s="15">
        <v>1</v>
      </c>
      <c r="F13" s="35">
        <v>44315</v>
      </c>
      <c r="G13" s="36">
        <f t="shared" si="0"/>
        <v>44315</v>
      </c>
      <c r="H13" s="13"/>
    </row>
    <row r="14" outlineLevel="1" spans="1:9">
      <c r="A14" s="11" t="s">
        <v>44</v>
      </c>
      <c r="B14" s="33" t="s">
        <v>45</v>
      </c>
      <c r="C14" s="40"/>
      <c r="D14" s="14"/>
      <c r="E14" s="15"/>
      <c r="F14" s="35"/>
      <c r="G14" s="36">
        <f t="shared" si="0"/>
        <v>0</v>
      </c>
      <c r="H14" s="13"/>
    </row>
    <row r="15" ht="62.4" outlineLevel="1" spans="1:9">
      <c r="B15" s="33" t="s">
        <v>46</v>
      </c>
      <c r="C15" s="40" t="s">
        <v>47</v>
      </c>
      <c r="D15" s="14" t="s">
        <v>22</v>
      </c>
      <c r="E15" s="15">
        <v>1</v>
      </c>
      <c r="F15" s="35">
        <v>44315</v>
      </c>
      <c r="G15" s="36">
        <f t="shared" si="0"/>
        <v>44315</v>
      </c>
      <c r="H15" s="13"/>
    </row>
    <row r="16" ht="62.4" outlineLevel="1" spans="1:9">
      <c r="A16" s="11"/>
      <c r="B16" s="33" t="s">
        <v>48</v>
      </c>
      <c r="C16" s="40" t="s">
        <v>49</v>
      </c>
      <c r="D16" s="14" t="s">
        <v>22</v>
      </c>
      <c r="E16" s="15">
        <v>1</v>
      </c>
      <c r="F16" s="35">
        <v>33236</v>
      </c>
      <c r="G16" s="36">
        <f t="shared" si="0"/>
        <v>33236</v>
      </c>
      <c r="H16" s="13"/>
    </row>
    <row r="17" ht="46.8" outlineLevel="1" spans="1:8">
      <c r="A17" s="11" t="s">
        <v>50</v>
      </c>
      <c r="B17" s="43" t="s">
        <v>51</v>
      </c>
      <c r="C17" s="44" t="s">
        <v>52</v>
      </c>
      <c r="D17" s="14" t="s">
        <v>22</v>
      </c>
      <c r="E17" s="15">
        <v>1</v>
      </c>
      <c r="F17" s="35">
        <v>22157</v>
      </c>
      <c r="G17" s="36">
        <f t="shared" si="0"/>
        <v>22157</v>
      </c>
      <c r="H17" s="13"/>
    </row>
    <row r="18" outlineLevel="1" spans="1:8">
      <c r="A18" s="11" t="s">
        <v>53</v>
      </c>
      <c r="B18" s="33" t="s">
        <v>54</v>
      </c>
      <c r="C18" s="40"/>
      <c r="D18" s="14"/>
      <c r="E18" s="15"/>
      <c r="F18" s="35"/>
      <c r="G18" s="36">
        <f t="shared" si="0"/>
        <v>0</v>
      </c>
      <c r="H18" s="13"/>
    </row>
    <row r="19" ht="171.6" outlineLevel="1" spans="1:8">
      <c r="A19" s="11"/>
      <c r="B19" s="33" t="s">
        <v>55</v>
      </c>
      <c r="C19" s="40" t="s">
        <v>56</v>
      </c>
      <c r="D19" s="14" t="s">
        <v>22</v>
      </c>
      <c r="E19" s="15">
        <v>1</v>
      </c>
      <c r="F19" s="35">
        <v>26589</v>
      </c>
      <c r="G19" s="36">
        <f t="shared" si="0"/>
        <v>26589</v>
      </c>
      <c r="H19" s="45"/>
    </row>
    <row r="20" ht="78" outlineLevel="1" spans="1:8">
      <c r="A20" s="11"/>
      <c r="B20" s="12" t="s">
        <v>57</v>
      </c>
      <c r="C20" s="42" t="s">
        <v>58</v>
      </c>
      <c r="D20" s="14" t="s">
        <v>22</v>
      </c>
      <c r="E20" s="15">
        <v>1</v>
      </c>
      <c r="F20" s="35">
        <v>77552</v>
      </c>
      <c r="G20" s="36">
        <f t="shared" si="0"/>
        <v>77552</v>
      </c>
      <c r="H20" s="45"/>
    </row>
    <row r="21" outlineLevel="1" spans="1:8">
      <c r="A21" s="11"/>
      <c r="B21" s="12" t="s">
        <v>59</v>
      </c>
      <c r="C21" s="42" t="s">
        <v>60</v>
      </c>
      <c r="D21" s="14" t="s">
        <v>22</v>
      </c>
      <c r="E21" s="15">
        <v>1</v>
      </c>
      <c r="F21" s="35">
        <v>127629</v>
      </c>
      <c r="G21" s="36">
        <f t="shared" si="0"/>
        <v>127629</v>
      </c>
      <c r="H21" s="45"/>
    </row>
    <row r="22" ht="109.2" outlineLevel="1" spans="1:8">
      <c r="A22" s="11"/>
      <c r="B22" s="12" t="s">
        <v>61</v>
      </c>
      <c r="C22" s="42" t="s">
        <v>62</v>
      </c>
      <c r="D22" s="14" t="s">
        <v>22</v>
      </c>
      <c r="E22" s="15">
        <v>1</v>
      </c>
      <c r="F22" s="35">
        <v>0</v>
      </c>
      <c r="G22" s="36">
        <f t="shared" si="0"/>
        <v>0</v>
      </c>
      <c r="H22" s="13" t="s">
        <v>63</v>
      </c>
    </row>
    <row r="23" ht="46.8" outlineLevel="1" spans="1:8">
      <c r="A23" s="11" t="s">
        <v>64</v>
      </c>
      <c r="B23" s="33" t="s">
        <v>65</v>
      </c>
      <c r="C23" s="40" t="s">
        <v>66</v>
      </c>
      <c r="D23" s="14" t="s">
        <v>22</v>
      </c>
      <c r="E23" s="15">
        <v>1</v>
      </c>
      <c r="F23" s="35">
        <v>39884</v>
      </c>
      <c r="G23" s="36">
        <f t="shared" si="0"/>
        <v>39884</v>
      </c>
      <c r="H23" s="13"/>
    </row>
    <row r="24" ht="46.8" outlineLevel="1" spans="1:8">
      <c r="A24" s="11" t="s">
        <v>67</v>
      </c>
      <c r="B24" s="33" t="s">
        <v>68</v>
      </c>
      <c r="C24" s="40" t="s">
        <v>69</v>
      </c>
      <c r="D24" s="14" t="s">
        <v>22</v>
      </c>
      <c r="E24" s="15">
        <v>1</v>
      </c>
      <c r="F24" s="35">
        <v>37668</v>
      </c>
      <c r="G24" s="36">
        <f t="shared" si="0"/>
        <v>37668</v>
      </c>
      <c r="H24" s="13"/>
    </row>
    <row r="25" ht="31.2" outlineLevel="1" spans="1:8">
      <c r="A25" s="11" t="s">
        <v>70</v>
      </c>
      <c r="B25" s="33" t="s">
        <v>71</v>
      </c>
      <c r="C25" s="40" t="s">
        <v>72</v>
      </c>
      <c r="D25" s="14" t="s">
        <v>22</v>
      </c>
      <c r="E25" s="15">
        <v>1</v>
      </c>
      <c r="F25" s="35">
        <v>62042</v>
      </c>
      <c r="G25" s="36">
        <f t="shared" si="0"/>
        <v>62042</v>
      </c>
      <c r="H25" s="13"/>
    </row>
    <row r="26" ht="31.2" outlineLevel="1" spans="1:8">
      <c r="A26" s="11" t="s">
        <v>73</v>
      </c>
      <c r="B26" s="33" t="s">
        <v>74</v>
      </c>
      <c r="C26" s="40" t="s">
        <v>72</v>
      </c>
      <c r="D26" s="14" t="s">
        <v>22</v>
      </c>
      <c r="E26" s="15">
        <v>1</v>
      </c>
      <c r="F26" s="35">
        <v>77552</v>
      </c>
      <c r="G26" s="36">
        <f t="shared" si="0"/>
        <v>77552</v>
      </c>
      <c r="H26" s="13"/>
    </row>
    <row r="27" ht="31.2" outlineLevel="1" spans="1:8">
      <c r="A27" s="11" t="s">
        <v>75</v>
      </c>
      <c r="B27" s="33" t="s">
        <v>76</v>
      </c>
      <c r="C27" s="40" t="s">
        <v>72</v>
      </c>
      <c r="D27" s="14" t="s">
        <v>22</v>
      </c>
      <c r="E27" s="15">
        <v>1</v>
      </c>
      <c r="F27" s="35">
        <v>59826</v>
      </c>
      <c r="G27" s="36">
        <f t="shared" si="0"/>
        <v>59826</v>
      </c>
      <c r="H27" s="13"/>
    </row>
    <row r="28" outlineLevel="1" spans="1:8">
      <c r="A28" s="11" t="s">
        <v>77</v>
      </c>
      <c r="B28" s="12" t="s">
        <v>78</v>
      </c>
      <c r="C28" s="42"/>
      <c r="D28" s="14"/>
      <c r="E28" s="15"/>
      <c r="F28" s="35"/>
      <c r="G28" s="36">
        <f t="shared" si="0"/>
        <v>0</v>
      </c>
      <c r="H28" s="13"/>
    </row>
    <row r="29" ht="156" outlineLevel="1" spans="1:8">
      <c r="A29" s="11"/>
      <c r="B29" s="33" t="s">
        <v>79</v>
      </c>
      <c r="C29" s="40" t="s">
        <v>80</v>
      </c>
      <c r="D29" s="14" t="s">
        <v>22</v>
      </c>
      <c r="E29" s="15">
        <v>1</v>
      </c>
      <c r="F29" s="35">
        <v>88631</v>
      </c>
      <c r="G29" s="36">
        <f t="shared" si="0"/>
        <v>88631</v>
      </c>
      <c r="H29" s="45"/>
    </row>
    <row r="30" ht="46.8" outlineLevel="1" spans="1:8">
      <c r="A30" s="11"/>
      <c r="B30" s="33" t="s">
        <v>81</v>
      </c>
      <c r="C30" s="40" t="s">
        <v>82</v>
      </c>
      <c r="D30" s="14" t="s">
        <v>22</v>
      </c>
      <c r="E30" s="15">
        <v>1</v>
      </c>
      <c r="F30" s="35">
        <v>88631</v>
      </c>
      <c r="G30" s="36">
        <f t="shared" si="0"/>
        <v>88631</v>
      </c>
      <c r="H30" s="45"/>
    </row>
    <row r="31" ht="62.4" outlineLevel="1" spans="1:8">
      <c r="A31" s="11"/>
      <c r="B31" s="46" t="s">
        <v>83</v>
      </c>
      <c r="C31" s="40" t="s">
        <v>84</v>
      </c>
      <c r="D31" s="14" t="s">
        <v>22</v>
      </c>
      <c r="E31" s="15">
        <v>1</v>
      </c>
      <c r="F31" s="35">
        <v>66473</v>
      </c>
      <c r="G31" s="36">
        <f t="shared" si="0"/>
        <v>66473</v>
      </c>
      <c r="H31" s="13"/>
    </row>
    <row r="32" ht="109.2" outlineLevel="1" spans="1:8">
      <c r="A32" s="11"/>
      <c r="B32" s="33" t="s">
        <v>85</v>
      </c>
      <c r="C32" s="40" t="s">
        <v>86</v>
      </c>
      <c r="D32" s="14" t="s">
        <v>22</v>
      </c>
      <c r="E32" s="15">
        <v>1</v>
      </c>
      <c r="F32" s="35">
        <v>66473</v>
      </c>
      <c r="G32" s="36">
        <f t="shared" si="0"/>
        <v>66473</v>
      </c>
      <c r="H32" s="13"/>
    </row>
    <row r="33" ht="86.25" customHeight="1" outlineLevel="1" spans="1:8">
      <c r="A33" s="11"/>
      <c r="B33" s="33" t="s">
        <v>87</v>
      </c>
      <c r="C33" s="40" t="s">
        <v>88</v>
      </c>
      <c r="D33" s="14" t="s">
        <v>22</v>
      </c>
      <c r="E33" s="15">
        <v>1</v>
      </c>
      <c r="F33" s="35">
        <v>44315</v>
      </c>
      <c r="G33" s="36">
        <f t="shared" si="0"/>
        <v>44315</v>
      </c>
      <c r="H33" s="13"/>
    </row>
    <row r="34" ht="93.6" outlineLevel="1" spans="1:8">
      <c r="A34" s="11"/>
      <c r="B34" s="33" t="s">
        <v>89</v>
      </c>
      <c r="C34" s="40" t="s">
        <v>90</v>
      </c>
      <c r="D34" s="14" t="s">
        <v>22</v>
      </c>
      <c r="E34" s="15">
        <v>1</v>
      </c>
      <c r="F34" s="35">
        <v>44315</v>
      </c>
      <c r="G34" s="36">
        <f t="shared" si="0"/>
        <v>44315</v>
      </c>
      <c r="H34" s="13"/>
    </row>
    <row r="35" ht="124.8" outlineLevel="1" spans="1:8">
      <c r="A35" s="11"/>
      <c r="B35" s="46" t="s">
        <v>91</v>
      </c>
      <c r="C35" s="34" t="s">
        <v>92</v>
      </c>
      <c r="D35" s="14" t="s">
        <v>22</v>
      </c>
      <c r="E35" s="15">
        <v>1</v>
      </c>
      <c r="F35" s="35">
        <v>77552</v>
      </c>
      <c r="G35" s="36">
        <f t="shared" si="0"/>
        <v>77552</v>
      </c>
      <c r="H35" s="13"/>
    </row>
    <row r="36" ht="124.8" outlineLevel="1" spans="1:8">
      <c r="A36" s="11"/>
      <c r="B36" s="12" t="s">
        <v>93</v>
      </c>
      <c r="C36" s="42" t="s">
        <v>94</v>
      </c>
      <c r="D36" s="14" t="s">
        <v>22</v>
      </c>
      <c r="E36" s="15">
        <v>1</v>
      </c>
      <c r="F36" s="35">
        <v>70905</v>
      </c>
      <c r="G36" s="36">
        <f t="shared" si="0"/>
        <v>70905</v>
      </c>
      <c r="H36" s="13"/>
    </row>
    <row r="37" ht="93.6" outlineLevel="1" spans="1:8">
      <c r="A37" s="11"/>
      <c r="B37" s="12" t="s">
        <v>95</v>
      </c>
      <c r="C37" s="42" t="s">
        <v>96</v>
      </c>
      <c r="D37" s="14" t="s">
        <v>22</v>
      </c>
      <c r="E37" s="15">
        <v>1</v>
      </c>
      <c r="F37" s="35">
        <v>88631</v>
      </c>
      <c r="G37" s="36">
        <f t="shared" si="0"/>
        <v>88631</v>
      </c>
      <c r="H37" s="13"/>
    </row>
    <row r="38" ht="109.2" outlineLevel="1" spans="1:8">
      <c r="A38" s="11"/>
      <c r="B38" s="12" t="s">
        <v>97</v>
      </c>
      <c r="C38" s="42" t="s">
        <v>98</v>
      </c>
      <c r="D38" s="14" t="s">
        <v>22</v>
      </c>
      <c r="E38" s="15">
        <v>1</v>
      </c>
      <c r="F38" s="35">
        <v>110789</v>
      </c>
      <c r="G38" s="36">
        <f t="shared" si="0"/>
        <v>110789</v>
      </c>
      <c r="H38" s="13"/>
    </row>
    <row r="39" outlineLevel="1" spans="1:8">
      <c r="A39" s="11" t="s">
        <v>99</v>
      </c>
      <c r="B39" s="12" t="s">
        <v>100</v>
      </c>
      <c r="C39" s="42"/>
      <c r="D39" s="14"/>
      <c r="E39" s="15"/>
      <c r="F39" s="35"/>
      <c r="G39" s="36">
        <f t="shared" si="0"/>
        <v>0</v>
      </c>
      <c r="H39" s="13"/>
    </row>
    <row r="40" ht="78" outlineLevel="1" spans="1:8">
      <c r="A40" s="11"/>
      <c r="B40" s="12" t="s">
        <v>101</v>
      </c>
      <c r="C40" s="13" t="s">
        <v>102</v>
      </c>
      <c r="D40" s="14" t="s">
        <v>22</v>
      </c>
      <c r="E40" s="15">
        <v>1</v>
      </c>
      <c r="F40" s="35">
        <v>121868</v>
      </c>
      <c r="G40" s="36">
        <f t="shared" si="0"/>
        <v>121868</v>
      </c>
      <c r="H40" s="13"/>
    </row>
    <row r="41" ht="109.2" outlineLevel="1" spans="1:8">
      <c r="A41" s="11"/>
      <c r="B41" s="12" t="s">
        <v>103</v>
      </c>
      <c r="C41" s="42" t="s">
        <v>104</v>
      </c>
      <c r="D41" s="14" t="s">
        <v>22</v>
      </c>
      <c r="E41" s="15">
        <v>1</v>
      </c>
      <c r="F41" s="35">
        <v>265895</v>
      </c>
      <c r="G41" s="36">
        <f t="shared" si="0"/>
        <v>265895</v>
      </c>
      <c r="H41" s="13"/>
    </row>
    <row r="42" ht="46.8" outlineLevel="1" spans="1:8">
      <c r="A42" s="11"/>
      <c r="B42" s="12" t="s">
        <v>105</v>
      </c>
      <c r="C42" s="42" t="s">
        <v>106</v>
      </c>
      <c r="D42" s="14" t="s">
        <v>22</v>
      </c>
      <c r="E42" s="15">
        <v>1</v>
      </c>
      <c r="F42" s="35">
        <v>55394</v>
      </c>
      <c r="G42" s="36">
        <f t="shared" si="0"/>
        <v>55394</v>
      </c>
      <c r="H42" s="13"/>
    </row>
    <row r="43" ht="46.8" outlineLevel="1" spans="1:8">
      <c r="A43" s="11"/>
      <c r="B43" s="12" t="s">
        <v>107</v>
      </c>
      <c r="C43" s="42" t="s">
        <v>108</v>
      </c>
      <c r="D43" s="14" t="s">
        <v>22</v>
      </c>
      <c r="E43" s="15">
        <v>1</v>
      </c>
      <c r="F43" s="35">
        <v>50963</v>
      </c>
      <c r="G43" s="36">
        <f t="shared" si="0"/>
        <v>50963</v>
      </c>
      <c r="H43" s="47" t="s">
        <v>109</v>
      </c>
    </row>
    <row r="44" ht="62.4" outlineLevel="1" spans="1:8">
      <c r="A44" s="11"/>
      <c r="B44" s="12" t="s">
        <v>110</v>
      </c>
      <c r="C44" s="42" t="s">
        <v>111</v>
      </c>
      <c r="D44" s="14" t="s">
        <v>22</v>
      </c>
      <c r="E44" s="15">
        <v>1</v>
      </c>
      <c r="F44" s="35">
        <v>44315</v>
      </c>
      <c r="G44" s="36">
        <f t="shared" si="0"/>
        <v>44315</v>
      </c>
      <c r="H44" s="47" t="s">
        <v>109</v>
      </c>
    </row>
    <row r="45" ht="46.8" outlineLevel="1" spans="1:8">
      <c r="A45" s="11"/>
      <c r="B45" s="12" t="s">
        <v>112</v>
      </c>
      <c r="C45" s="42" t="s">
        <v>108</v>
      </c>
      <c r="D45" s="14" t="s">
        <v>22</v>
      </c>
      <c r="E45" s="15">
        <v>1</v>
      </c>
      <c r="F45" s="35">
        <v>37668</v>
      </c>
      <c r="G45" s="36">
        <f t="shared" si="0"/>
        <v>37668</v>
      </c>
      <c r="H45" s="47" t="s">
        <v>109</v>
      </c>
    </row>
    <row r="46" ht="46.8" outlineLevel="1" spans="1:8">
      <c r="A46" s="11"/>
      <c r="B46" s="12" t="s">
        <v>113</v>
      </c>
      <c r="C46" s="42" t="s">
        <v>108</v>
      </c>
      <c r="D46" s="14" t="s">
        <v>22</v>
      </c>
      <c r="E46" s="15">
        <v>1</v>
      </c>
      <c r="F46" s="35">
        <v>66473</v>
      </c>
      <c r="G46" s="36">
        <f t="shared" si="0"/>
        <v>66473</v>
      </c>
      <c r="H46" s="47" t="s">
        <v>109</v>
      </c>
    </row>
    <row r="47" ht="62.4" outlineLevel="1" spans="1:8">
      <c r="A47" s="11"/>
      <c r="B47" s="12" t="s">
        <v>114</v>
      </c>
      <c r="C47" s="42" t="s">
        <v>115</v>
      </c>
      <c r="D47" s="14" t="s">
        <v>22</v>
      </c>
      <c r="E47" s="15">
        <v>1</v>
      </c>
      <c r="F47" s="35">
        <v>77552</v>
      </c>
      <c r="G47" s="36">
        <f t="shared" si="0"/>
        <v>77552</v>
      </c>
      <c r="H47" s="47" t="s">
        <v>109</v>
      </c>
    </row>
    <row r="48" ht="62.4" outlineLevel="1" spans="1:8">
      <c r="A48" s="11"/>
      <c r="B48" s="12" t="s">
        <v>116</v>
      </c>
      <c r="C48" s="42" t="s">
        <v>115</v>
      </c>
      <c r="D48" s="14" t="s">
        <v>22</v>
      </c>
      <c r="E48" s="15">
        <v>1</v>
      </c>
      <c r="F48" s="35">
        <v>88631</v>
      </c>
      <c r="G48" s="36">
        <f t="shared" si="0"/>
        <v>88631</v>
      </c>
      <c r="H48" s="47" t="s">
        <v>109</v>
      </c>
    </row>
    <row r="49" ht="46.8" outlineLevel="1" spans="1:8">
      <c r="A49" s="11"/>
      <c r="B49" s="12" t="s">
        <v>117</v>
      </c>
      <c r="C49" s="42" t="s">
        <v>118</v>
      </c>
      <c r="D49" s="14" t="s">
        <v>22</v>
      </c>
      <c r="E49" s="15">
        <v>1</v>
      </c>
      <c r="F49" s="35">
        <v>64258</v>
      </c>
      <c r="G49" s="36">
        <f t="shared" si="0"/>
        <v>64258</v>
      </c>
      <c r="H49" s="47" t="s">
        <v>109</v>
      </c>
    </row>
    <row r="50" ht="62.4" outlineLevel="1" spans="1:8">
      <c r="A50" s="11"/>
      <c r="B50" s="12" t="s">
        <v>119</v>
      </c>
      <c r="C50" s="42" t="s">
        <v>120</v>
      </c>
      <c r="D50" s="14" t="s">
        <v>22</v>
      </c>
      <c r="E50" s="15">
        <v>1</v>
      </c>
      <c r="F50" s="35">
        <v>59826</v>
      </c>
      <c r="G50" s="36">
        <f t="shared" si="0"/>
        <v>59826</v>
      </c>
      <c r="H50" s="47" t="s">
        <v>109</v>
      </c>
    </row>
    <row r="51" ht="62.4" outlineLevel="1" spans="1:8">
      <c r="A51" s="11"/>
      <c r="B51" s="12" t="s">
        <v>121</v>
      </c>
      <c r="C51" s="42" t="s">
        <v>122</v>
      </c>
      <c r="D51" s="14" t="s">
        <v>22</v>
      </c>
      <c r="E51" s="15">
        <v>1</v>
      </c>
      <c r="F51" s="35">
        <v>55394</v>
      </c>
      <c r="G51" s="36">
        <f t="shared" si="0"/>
        <v>55394</v>
      </c>
      <c r="H51" s="47" t="s">
        <v>109</v>
      </c>
    </row>
    <row r="52" ht="62.4" outlineLevel="1" spans="1:8">
      <c r="A52" s="11"/>
      <c r="B52" s="12" t="s">
        <v>123</v>
      </c>
      <c r="C52" s="42" t="s">
        <v>115</v>
      </c>
      <c r="D52" s="14" t="s">
        <v>22</v>
      </c>
      <c r="E52" s="15">
        <v>1</v>
      </c>
      <c r="F52" s="35">
        <v>33236</v>
      </c>
      <c r="G52" s="36">
        <f t="shared" si="0"/>
        <v>33236</v>
      </c>
      <c r="H52" s="47" t="s">
        <v>109</v>
      </c>
    </row>
    <row r="53" ht="62.4" outlineLevel="1" spans="1:8">
      <c r="A53" s="11"/>
      <c r="B53" s="12" t="s">
        <v>124</v>
      </c>
      <c r="C53" s="42" t="s">
        <v>125</v>
      </c>
      <c r="D53" s="14" t="s">
        <v>22</v>
      </c>
      <c r="E53" s="15">
        <v>1</v>
      </c>
      <c r="F53" s="35">
        <v>199421</v>
      </c>
      <c r="G53" s="36">
        <f t="shared" si="0"/>
        <v>199421</v>
      </c>
      <c r="H53" s="13"/>
    </row>
    <row r="54" ht="31.2" outlineLevel="1" spans="1:8">
      <c r="A54" s="11"/>
      <c r="B54" s="12" t="s">
        <v>126</v>
      </c>
      <c r="C54" s="42" t="s">
        <v>127</v>
      </c>
      <c r="D54" s="14" t="s">
        <v>22</v>
      </c>
      <c r="E54" s="15">
        <v>1</v>
      </c>
      <c r="F54" s="35">
        <v>88631</v>
      </c>
      <c r="G54" s="36">
        <f t="shared" si="0"/>
        <v>88631</v>
      </c>
      <c r="H54" s="13"/>
    </row>
    <row r="55" ht="46.8" outlineLevel="1" spans="1:8">
      <c r="A55" s="11"/>
      <c r="B55" s="12" t="s">
        <v>128</v>
      </c>
      <c r="C55" s="42" t="s">
        <v>129</v>
      </c>
      <c r="D55" s="14" t="s">
        <v>22</v>
      </c>
      <c r="E55" s="15">
        <v>1</v>
      </c>
      <c r="F55" s="35">
        <v>132947</v>
      </c>
      <c r="G55" s="36">
        <f t="shared" si="0"/>
        <v>132947</v>
      </c>
      <c r="H55" s="13"/>
    </row>
    <row r="56" ht="78" outlineLevel="1" spans="1:8">
      <c r="A56" s="11"/>
      <c r="B56" s="12" t="s">
        <v>130</v>
      </c>
      <c r="C56" s="42" t="s">
        <v>131</v>
      </c>
      <c r="D56" s="14" t="s">
        <v>22</v>
      </c>
      <c r="E56" s="15">
        <v>1</v>
      </c>
      <c r="F56" s="35">
        <v>121868</v>
      </c>
      <c r="G56" s="36">
        <f t="shared" si="0"/>
        <v>121868</v>
      </c>
      <c r="H56" s="13"/>
    </row>
    <row r="57" outlineLevel="1" spans="1:8">
      <c r="A57" s="11" t="s">
        <v>132</v>
      </c>
      <c r="B57" s="43" t="s">
        <v>133</v>
      </c>
      <c r="C57" s="44"/>
      <c r="D57" s="14"/>
      <c r="E57" s="15"/>
      <c r="F57" s="35"/>
      <c r="G57" s="36">
        <f t="shared" si="0"/>
        <v>0</v>
      </c>
      <c r="H57" s="13"/>
    </row>
    <row r="58" ht="62.4" outlineLevel="1" spans="1:8">
      <c r="A58" s="11"/>
      <c r="B58" s="12" t="s">
        <v>134</v>
      </c>
      <c r="C58" s="44" t="s">
        <v>135</v>
      </c>
      <c r="D58" s="14" t="s">
        <v>22</v>
      </c>
      <c r="E58" s="15">
        <v>1</v>
      </c>
      <c r="F58" s="35">
        <v>77552</v>
      </c>
      <c r="G58" s="36">
        <f t="shared" si="0"/>
        <v>77552</v>
      </c>
      <c r="H58" s="13"/>
    </row>
    <row r="59" ht="62.4" outlineLevel="1" spans="1:8">
      <c r="A59" s="11"/>
      <c r="B59" s="12" t="s">
        <v>136</v>
      </c>
      <c r="C59" s="42" t="s">
        <v>137</v>
      </c>
      <c r="D59" s="14" t="s">
        <v>22</v>
      </c>
      <c r="E59" s="15">
        <v>1</v>
      </c>
      <c r="F59" s="35">
        <v>55394</v>
      </c>
      <c r="G59" s="36">
        <f t="shared" si="0"/>
        <v>55394</v>
      </c>
      <c r="H59" s="13" t="s">
        <v>138</v>
      </c>
    </row>
    <row r="60" ht="46.8" outlineLevel="1" spans="1:8">
      <c r="A60" s="11"/>
      <c r="B60" s="12" t="s">
        <v>139</v>
      </c>
      <c r="C60" s="42" t="s">
        <v>140</v>
      </c>
      <c r="D60" s="14" t="s">
        <v>22</v>
      </c>
      <c r="E60" s="15">
        <v>1</v>
      </c>
      <c r="F60" s="35">
        <v>55394</v>
      </c>
      <c r="G60" s="36">
        <f t="shared" si="0"/>
        <v>55394</v>
      </c>
      <c r="H60" s="13" t="s">
        <v>141</v>
      </c>
    </row>
    <row r="61" ht="78" outlineLevel="1" spans="1:8">
      <c r="A61" s="11"/>
      <c r="B61" s="12" t="s">
        <v>142</v>
      </c>
      <c r="C61" s="42" t="s">
        <v>143</v>
      </c>
      <c r="D61" s="14" t="s">
        <v>22</v>
      </c>
      <c r="E61" s="15">
        <v>1</v>
      </c>
      <c r="F61" s="35">
        <v>99710</v>
      </c>
      <c r="G61" s="36">
        <f t="shared" si="0"/>
        <v>99710</v>
      </c>
      <c r="H61" s="13"/>
    </row>
    <row r="62" outlineLevel="1" spans="1:8">
      <c r="A62" s="11" t="s">
        <v>144</v>
      </c>
      <c r="B62" s="12" t="s">
        <v>145</v>
      </c>
      <c r="C62" s="42"/>
      <c r="D62" s="14"/>
      <c r="E62" s="15"/>
      <c r="F62" s="35"/>
      <c r="G62" s="36">
        <f t="shared" si="0"/>
        <v>0</v>
      </c>
      <c r="H62" s="13"/>
    </row>
    <row r="63" ht="62.4" outlineLevel="1" spans="1:8">
      <c r="A63" s="11"/>
      <c r="B63" s="12" t="s">
        <v>146</v>
      </c>
      <c r="C63" s="42" t="s">
        <v>147</v>
      </c>
      <c r="D63" s="14" t="s">
        <v>22</v>
      </c>
      <c r="E63" s="15">
        <v>1</v>
      </c>
      <c r="F63" s="35">
        <v>33236</v>
      </c>
      <c r="G63" s="36">
        <f t="shared" si="0"/>
        <v>33236</v>
      </c>
      <c r="H63" s="13"/>
    </row>
    <row r="64" ht="46.8" outlineLevel="1" spans="1:8">
      <c r="A64" s="11"/>
      <c r="B64" s="33" t="s">
        <v>148</v>
      </c>
      <c r="C64" s="40" t="s">
        <v>149</v>
      </c>
      <c r="D64" s="14" t="s">
        <v>22</v>
      </c>
      <c r="E64" s="15">
        <v>1</v>
      </c>
      <c r="F64" s="35">
        <v>44315</v>
      </c>
      <c r="G64" s="36">
        <f t="shared" si="0"/>
        <v>44315</v>
      </c>
      <c r="H64" s="13"/>
    </row>
    <row r="65" ht="105" customHeight="1" outlineLevel="1" spans="1:8">
      <c r="A65" s="11"/>
      <c r="B65" s="33" t="s">
        <v>150</v>
      </c>
      <c r="C65" s="40" t="s">
        <v>151</v>
      </c>
      <c r="D65" s="14" t="s">
        <v>22</v>
      </c>
      <c r="E65" s="15">
        <v>1</v>
      </c>
      <c r="F65" s="35">
        <v>66473</v>
      </c>
      <c r="G65" s="36">
        <f t="shared" si="0"/>
        <v>66473</v>
      </c>
      <c r="H65" s="13"/>
    </row>
    <row r="66" ht="31.2" outlineLevel="1" spans="1:8">
      <c r="A66" s="11"/>
      <c r="B66" s="33" t="s">
        <v>152</v>
      </c>
      <c r="C66" s="40" t="s">
        <v>153</v>
      </c>
      <c r="D66" s="14" t="s">
        <v>22</v>
      </c>
      <c r="E66" s="15">
        <v>1</v>
      </c>
      <c r="F66" s="35">
        <v>59826</v>
      </c>
      <c r="G66" s="36">
        <f t="shared" si="0"/>
        <v>59826</v>
      </c>
      <c r="H66" s="13"/>
    </row>
    <row r="67" ht="62.4" outlineLevel="1" spans="1:8">
      <c r="A67" s="11"/>
      <c r="B67" s="12" t="s">
        <v>154</v>
      </c>
      <c r="C67" s="42" t="s">
        <v>155</v>
      </c>
      <c r="D67" s="14" t="s">
        <v>22</v>
      </c>
      <c r="E67" s="15">
        <v>1</v>
      </c>
      <c r="F67" s="35">
        <v>99710</v>
      </c>
      <c r="G67" s="36">
        <f t="shared" si="0"/>
        <v>99710</v>
      </c>
      <c r="H67" s="13"/>
    </row>
    <row r="68" outlineLevel="1" spans="1:8">
      <c r="A68" s="11" t="s">
        <v>156</v>
      </c>
      <c r="B68" s="46" t="s">
        <v>157</v>
      </c>
      <c r="C68" s="40"/>
      <c r="D68" s="14"/>
      <c r="E68" s="15"/>
      <c r="F68" s="35"/>
      <c r="G68" s="36">
        <f t="shared" si="0"/>
        <v>0</v>
      </c>
      <c r="H68" s="13"/>
    </row>
    <row r="69" ht="62.4" outlineLevel="1" spans="1:8">
      <c r="A69" s="11"/>
      <c r="B69" s="12" t="s">
        <v>158</v>
      </c>
      <c r="C69" s="42" t="s">
        <v>159</v>
      </c>
      <c r="D69" s="14" t="s">
        <v>22</v>
      </c>
      <c r="E69" s="15">
        <v>1</v>
      </c>
      <c r="F69" s="35">
        <v>59826</v>
      </c>
      <c r="G69" s="36">
        <f t="shared" si="0"/>
        <v>59826</v>
      </c>
      <c r="H69" s="13"/>
    </row>
    <row r="70" ht="31.2" outlineLevel="1" spans="1:8">
      <c r="A70" s="48"/>
      <c r="B70" s="12" t="s">
        <v>160</v>
      </c>
      <c r="C70" s="42" t="s">
        <v>161</v>
      </c>
      <c r="D70" s="14" t="s">
        <v>22</v>
      </c>
      <c r="E70" s="15">
        <v>1</v>
      </c>
      <c r="F70" s="35">
        <v>44315</v>
      </c>
      <c r="G70" s="36">
        <f t="shared" si="0"/>
        <v>44315</v>
      </c>
      <c r="H70" s="13"/>
    </row>
    <row r="71" ht="93.6" outlineLevel="1" spans="1:8">
      <c r="A71" s="48"/>
      <c r="B71" s="12" t="s">
        <v>162</v>
      </c>
      <c r="C71" s="42" t="s">
        <v>163</v>
      </c>
      <c r="D71" s="14" t="s">
        <v>22</v>
      </c>
      <c r="E71" s="15">
        <v>1</v>
      </c>
      <c r="F71" s="35">
        <v>110789</v>
      </c>
      <c r="G71" s="36">
        <f t="shared" ref="G71:G101" si="1">F71*E71</f>
        <v>110789</v>
      </c>
      <c r="H71" s="13"/>
    </row>
    <row r="72" ht="62.4" outlineLevel="1" spans="1:8">
      <c r="A72" s="48"/>
      <c r="B72" s="12" t="s">
        <v>164</v>
      </c>
      <c r="C72" s="42" t="s">
        <v>165</v>
      </c>
      <c r="D72" s="14" t="s">
        <v>22</v>
      </c>
      <c r="E72" s="15">
        <v>1</v>
      </c>
      <c r="F72" s="35">
        <v>55394</v>
      </c>
      <c r="G72" s="36">
        <f t="shared" si="1"/>
        <v>55394</v>
      </c>
      <c r="H72" s="13"/>
    </row>
    <row r="73" ht="31.2" outlineLevel="1" spans="1:8">
      <c r="A73" s="48"/>
      <c r="B73" s="12" t="s">
        <v>166</v>
      </c>
      <c r="C73" s="42" t="s">
        <v>167</v>
      </c>
      <c r="D73" s="14" t="s">
        <v>22</v>
      </c>
      <c r="E73" s="15">
        <v>1</v>
      </c>
      <c r="F73" s="35">
        <v>44315</v>
      </c>
      <c r="G73" s="36">
        <f t="shared" si="1"/>
        <v>44315</v>
      </c>
      <c r="H73" s="13"/>
    </row>
    <row r="74" ht="62.4" outlineLevel="1" spans="1:8">
      <c r="A74" s="48"/>
      <c r="B74" s="12" t="s">
        <v>168</v>
      </c>
      <c r="C74" s="42" t="s">
        <v>169</v>
      </c>
      <c r="D74" s="14" t="s">
        <v>22</v>
      </c>
      <c r="E74" s="15">
        <v>1</v>
      </c>
      <c r="F74" s="35">
        <v>50963</v>
      </c>
      <c r="G74" s="36">
        <f t="shared" si="1"/>
        <v>50963</v>
      </c>
      <c r="H74" s="13"/>
    </row>
    <row r="75" ht="93.6" outlineLevel="1" spans="1:8">
      <c r="A75" s="11" t="s">
        <v>170</v>
      </c>
      <c r="B75" s="33" t="s">
        <v>171</v>
      </c>
      <c r="C75" s="40" t="s">
        <v>172</v>
      </c>
      <c r="D75" s="14" t="s">
        <v>22</v>
      </c>
      <c r="E75" s="15">
        <v>1</v>
      </c>
      <c r="F75" s="35">
        <v>59826</v>
      </c>
      <c r="G75" s="36">
        <f t="shared" si="1"/>
        <v>59826</v>
      </c>
      <c r="H75" s="13"/>
    </row>
    <row r="76" outlineLevel="1" spans="1:8">
      <c r="A76" s="11" t="s">
        <v>173</v>
      </c>
      <c r="B76" s="12" t="s">
        <v>174</v>
      </c>
      <c r="C76" s="42"/>
      <c r="D76" s="14"/>
      <c r="E76" s="15"/>
      <c r="F76" s="35"/>
      <c r="G76" s="36">
        <f t="shared" si="1"/>
        <v>0</v>
      </c>
      <c r="H76" s="13"/>
    </row>
    <row r="77" ht="46.8" outlineLevel="1" spans="1:8">
      <c r="A77" s="11"/>
      <c r="B77" s="12" t="s">
        <v>175</v>
      </c>
      <c r="C77" s="42" t="s">
        <v>176</v>
      </c>
      <c r="D77" s="14" t="s">
        <v>22</v>
      </c>
      <c r="E77" s="15">
        <v>1</v>
      </c>
      <c r="F77" s="35">
        <v>44315</v>
      </c>
      <c r="G77" s="36">
        <f t="shared" si="1"/>
        <v>44315</v>
      </c>
      <c r="H77" s="13" t="s">
        <v>109</v>
      </c>
    </row>
    <row r="78" ht="46.8" outlineLevel="1" spans="1:8">
      <c r="A78" s="11"/>
      <c r="B78" s="33" t="s">
        <v>65</v>
      </c>
      <c r="C78" s="40" t="s">
        <v>66</v>
      </c>
      <c r="D78" s="14" t="s">
        <v>22</v>
      </c>
      <c r="E78" s="15">
        <v>1</v>
      </c>
      <c r="F78" s="35">
        <v>0</v>
      </c>
      <c r="G78" s="36">
        <f t="shared" si="1"/>
        <v>0</v>
      </c>
      <c r="H78" s="13" t="s">
        <v>177</v>
      </c>
    </row>
    <row r="79" ht="93.6" outlineLevel="1" spans="1:8">
      <c r="A79" s="11"/>
      <c r="B79" s="12" t="s">
        <v>178</v>
      </c>
      <c r="C79" s="42" t="s">
        <v>179</v>
      </c>
      <c r="D79" s="14" t="s">
        <v>22</v>
      </c>
      <c r="E79" s="15">
        <v>1</v>
      </c>
      <c r="F79" s="35">
        <v>345663</v>
      </c>
      <c r="G79" s="36">
        <f t="shared" si="1"/>
        <v>345663</v>
      </c>
      <c r="H79" s="13"/>
    </row>
    <row r="80" outlineLevel="1" spans="1:8">
      <c r="A80" s="11" t="s">
        <v>180</v>
      </c>
      <c r="B80" s="12" t="s">
        <v>181</v>
      </c>
      <c r="C80" s="42"/>
      <c r="D80" s="14"/>
      <c r="E80" s="15"/>
      <c r="F80" s="35"/>
      <c r="G80" s="36">
        <f t="shared" si="1"/>
        <v>0</v>
      </c>
      <c r="H80" s="13"/>
    </row>
    <row r="81" ht="62.4" outlineLevel="1" spans="1:8">
      <c r="A81" s="11"/>
      <c r="B81" s="12" t="s">
        <v>182</v>
      </c>
      <c r="C81" s="42" t="s">
        <v>183</v>
      </c>
      <c r="D81" s="14" t="s">
        <v>22</v>
      </c>
      <c r="E81" s="15">
        <v>1</v>
      </c>
      <c r="F81" s="35">
        <v>146242</v>
      </c>
      <c r="G81" s="36">
        <f t="shared" si="1"/>
        <v>146242</v>
      </c>
      <c r="H81" s="13" t="s">
        <v>184</v>
      </c>
    </row>
    <row r="82" ht="62.4" outlineLevel="1" spans="1:8">
      <c r="A82" s="11"/>
      <c r="B82" s="12" t="s">
        <v>185</v>
      </c>
      <c r="C82" s="42" t="s">
        <v>186</v>
      </c>
      <c r="D82" s="14" t="s">
        <v>22</v>
      </c>
      <c r="E82" s="15">
        <v>1</v>
      </c>
      <c r="F82" s="35">
        <v>172831</v>
      </c>
      <c r="G82" s="36">
        <f t="shared" si="1"/>
        <v>172831</v>
      </c>
      <c r="H82" s="13" t="s">
        <v>184</v>
      </c>
    </row>
    <row r="83" ht="62.4" outlineLevel="1" spans="1:8">
      <c r="A83" s="11"/>
      <c r="B83" s="12" t="s">
        <v>187</v>
      </c>
      <c r="C83" s="42" t="s">
        <v>188</v>
      </c>
      <c r="D83" s="14" t="s">
        <v>22</v>
      </c>
      <c r="E83" s="15">
        <v>1</v>
      </c>
      <c r="F83" s="35">
        <v>199421</v>
      </c>
      <c r="G83" s="36">
        <f t="shared" si="1"/>
        <v>199421</v>
      </c>
      <c r="H83" s="13" t="s">
        <v>184</v>
      </c>
    </row>
    <row r="84" ht="62.4" outlineLevel="1" spans="1:8">
      <c r="A84" s="11"/>
      <c r="B84" s="12" t="s">
        <v>189</v>
      </c>
      <c r="C84" s="42" t="s">
        <v>190</v>
      </c>
      <c r="D84" s="14" t="s">
        <v>22</v>
      </c>
      <c r="E84" s="15">
        <v>1</v>
      </c>
      <c r="F84" s="35">
        <v>186126</v>
      </c>
      <c r="G84" s="36">
        <f t="shared" si="1"/>
        <v>186126</v>
      </c>
      <c r="H84" s="13" t="s">
        <v>184</v>
      </c>
    </row>
    <row r="85" ht="46.8" outlineLevel="1" spans="1:8">
      <c r="A85" s="11"/>
      <c r="B85" s="12" t="s">
        <v>191</v>
      </c>
      <c r="C85" s="42" t="s">
        <v>192</v>
      </c>
      <c r="D85" s="14" t="s">
        <v>22</v>
      </c>
      <c r="E85" s="15">
        <v>1</v>
      </c>
      <c r="F85" s="35">
        <v>66473</v>
      </c>
      <c r="G85" s="36">
        <f t="shared" si="1"/>
        <v>66473</v>
      </c>
      <c r="H85" s="13" t="s">
        <v>184</v>
      </c>
    </row>
    <row r="86" outlineLevel="1" spans="1:8">
      <c r="A86" s="11" t="s">
        <v>193</v>
      </c>
      <c r="B86" s="12" t="s">
        <v>194</v>
      </c>
      <c r="C86" s="42"/>
      <c r="D86" s="14"/>
      <c r="E86" s="15"/>
      <c r="F86" s="35"/>
      <c r="G86" s="36">
        <f t="shared" si="1"/>
        <v>0</v>
      </c>
      <c r="H86" s="13"/>
    </row>
    <row r="87" ht="78" outlineLevel="1" spans="1:8">
      <c r="A87" s="11"/>
      <c r="B87" s="12" t="s">
        <v>195</v>
      </c>
      <c r="C87" s="13" t="s">
        <v>196</v>
      </c>
      <c r="D87" s="14" t="s">
        <v>22</v>
      </c>
      <c r="E87" s="15">
        <v>1</v>
      </c>
      <c r="F87" s="35">
        <v>33236</v>
      </c>
      <c r="G87" s="36">
        <f t="shared" si="1"/>
        <v>33236</v>
      </c>
      <c r="H87" s="13"/>
    </row>
    <row r="88" ht="78" outlineLevel="1" spans="1:8">
      <c r="A88" s="11"/>
      <c r="B88" s="12" t="s">
        <v>197</v>
      </c>
      <c r="C88" s="42" t="s">
        <v>198</v>
      </c>
      <c r="D88" s="14" t="s">
        <v>22</v>
      </c>
      <c r="E88" s="15">
        <v>1</v>
      </c>
      <c r="F88" s="35">
        <v>28805</v>
      </c>
      <c r="G88" s="36">
        <f t="shared" si="1"/>
        <v>28805</v>
      </c>
      <c r="H88" s="13"/>
    </row>
    <row r="89" ht="93.6" outlineLevel="1" spans="1:8">
      <c r="A89" s="11"/>
      <c r="B89" s="12" t="s">
        <v>199</v>
      </c>
      <c r="C89" s="42" t="s">
        <v>200</v>
      </c>
      <c r="D89" s="14" t="s">
        <v>22</v>
      </c>
      <c r="E89" s="15">
        <v>1</v>
      </c>
      <c r="F89" s="35">
        <v>77552</v>
      </c>
      <c r="G89" s="36">
        <f t="shared" si="1"/>
        <v>77552</v>
      </c>
      <c r="H89" s="13" t="s">
        <v>201</v>
      </c>
    </row>
    <row r="90" ht="57.75" customHeight="1" outlineLevel="1" spans="1:8">
      <c r="A90" s="11"/>
      <c r="B90" s="12" t="s">
        <v>202</v>
      </c>
      <c r="C90" s="13" t="s">
        <v>203</v>
      </c>
      <c r="D90" s="14" t="s">
        <v>22</v>
      </c>
      <c r="E90" s="15">
        <v>1</v>
      </c>
      <c r="F90" s="35">
        <v>33236</v>
      </c>
      <c r="G90" s="36">
        <f t="shared" si="1"/>
        <v>33236</v>
      </c>
      <c r="H90" s="13"/>
    </row>
    <row r="91" ht="31.2" outlineLevel="1" spans="1:8">
      <c r="A91" s="11" t="s">
        <v>204</v>
      </c>
      <c r="B91" s="12" t="s">
        <v>205</v>
      </c>
      <c r="C91" s="42" t="s">
        <v>206</v>
      </c>
      <c r="D91" s="14" t="s">
        <v>22</v>
      </c>
      <c r="E91" s="15">
        <v>1</v>
      </c>
      <c r="F91" s="35">
        <v>22157</v>
      </c>
      <c r="G91" s="36">
        <f t="shared" si="1"/>
        <v>22157</v>
      </c>
      <c r="H91" s="13"/>
    </row>
    <row r="92" ht="78" outlineLevel="1" spans="1:8">
      <c r="A92" s="11" t="s">
        <v>207</v>
      </c>
      <c r="B92" s="33" t="s">
        <v>208</v>
      </c>
      <c r="C92" s="40" t="s">
        <v>209</v>
      </c>
      <c r="D92" s="14" t="s">
        <v>22</v>
      </c>
      <c r="E92" s="15">
        <v>1</v>
      </c>
      <c r="F92" s="35">
        <v>11078</v>
      </c>
      <c r="G92" s="36">
        <f t="shared" si="1"/>
        <v>11078</v>
      </c>
      <c r="H92" s="13"/>
    </row>
    <row r="93" ht="31.2" spans="1:8">
      <c r="A93" s="11" t="s">
        <v>210</v>
      </c>
      <c r="B93" s="33" t="s">
        <v>211</v>
      </c>
      <c r="C93" s="40" t="s">
        <v>212</v>
      </c>
      <c r="D93" s="14" t="s">
        <v>22</v>
      </c>
      <c r="E93" s="15">
        <v>1</v>
      </c>
      <c r="F93" s="35">
        <v>121868</v>
      </c>
      <c r="G93" s="36">
        <f t="shared" si="1"/>
        <v>121868</v>
      </c>
      <c r="H93" s="13"/>
    </row>
    <row r="94" ht="31.2" spans="1:8">
      <c r="A94" s="11" t="s">
        <v>213</v>
      </c>
      <c r="B94" s="33" t="s">
        <v>214</v>
      </c>
      <c r="C94" s="40" t="s">
        <v>215</v>
      </c>
      <c r="D94" s="14" t="s">
        <v>22</v>
      </c>
      <c r="E94" s="15">
        <v>1</v>
      </c>
      <c r="F94" s="35">
        <v>252600</v>
      </c>
      <c r="G94" s="36">
        <f t="shared" si="1"/>
        <v>252600</v>
      </c>
      <c r="H94" s="13"/>
    </row>
    <row r="95" outlineLevel="1" spans="1:8">
      <c r="A95" s="11" t="s">
        <v>216</v>
      </c>
      <c r="B95" s="49" t="s">
        <v>217</v>
      </c>
      <c r="C95" s="49"/>
      <c r="D95" s="14"/>
      <c r="E95" s="15"/>
      <c r="F95" s="35"/>
      <c r="G95" s="36">
        <f t="shared" si="1"/>
        <v>0</v>
      </c>
      <c r="H95" s="13"/>
    </row>
    <row r="96" ht="124.8" outlineLevel="1" spans="1:8">
      <c r="A96" s="11"/>
      <c r="B96" s="12" t="s">
        <v>218</v>
      </c>
      <c r="C96" s="42" t="s">
        <v>219</v>
      </c>
      <c r="D96" s="14" t="s">
        <v>22</v>
      </c>
      <c r="E96" s="15">
        <v>1</v>
      </c>
      <c r="F96" s="35">
        <v>11078</v>
      </c>
      <c r="G96" s="36">
        <f t="shared" si="1"/>
        <v>11078</v>
      </c>
      <c r="H96" s="13"/>
    </row>
    <row r="97" ht="140.4" outlineLevel="1" spans="1:8">
      <c r="A97" s="11"/>
      <c r="B97" s="12" t="s">
        <v>220</v>
      </c>
      <c r="C97" s="42" t="s">
        <v>221</v>
      </c>
      <c r="D97" s="14" t="s">
        <v>22</v>
      </c>
      <c r="E97" s="15">
        <v>1</v>
      </c>
      <c r="F97" s="35">
        <v>11078</v>
      </c>
      <c r="G97" s="36">
        <f t="shared" si="1"/>
        <v>11078</v>
      </c>
      <c r="H97" s="13"/>
    </row>
    <row r="98" outlineLevel="1" spans="1:8">
      <c r="A98" s="11"/>
      <c r="B98" s="12" t="s">
        <v>222</v>
      </c>
      <c r="C98" s="13" t="s">
        <v>223</v>
      </c>
      <c r="D98" s="14" t="s">
        <v>22</v>
      </c>
      <c r="E98" s="15">
        <v>1</v>
      </c>
      <c r="F98" s="35">
        <v>66473</v>
      </c>
      <c r="G98" s="36">
        <f t="shared" si="1"/>
        <v>66473</v>
      </c>
      <c r="H98" s="13"/>
    </row>
    <row r="99" ht="62.4" outlineLevel="1" spans="1:8">
      <c r="A99" s="11"/>
      <c r="B99" s="12" t="s">
        <v>224</v>
      </c>
      <c r="C99" s="13" t="s">
        <v>225</v>
      </c>
      <c r="D99" s="14" t="s">
        <v>22</v>
      </c>
      <c r="E99" s="15">
        <v>1</v>
      </c>
      <c r="F99" s="35">
        <v>11078</v>
      </c>
      <c r="G99" s="36">
        <f t="shared" si="1"/>
        <v>11078</v>
      </c>
      <c r="H99" s="13"/>
    </row>
    <row r="100" ht="46.8" outlineLevel="1" spans="1:8">
      <c r="A100" s="11"/>
      <c r="B100" s="12" t="s">
        <v>226</v>
      </c>
      <c r="C100" s="13" t="s">
        <v>227</v>
      </c>
      <c r="D100" s="14" t="s">
        <v>22</v>
      </c>
      <c r="E100" s="15">
        <v>1</v>
      </c>
      <c r="F100" s="35">
        <v>11078</v>
      </c>
      <c r="G100" s="36">
        <f t="shared" si="1"/>
        <v>11078</v>
      </c>
      <c r="H100" s="13"/>
    </row>
    <row r="101" outlineLevel="1" spans="1:8">
      <c r="A101" s="11"/>
      <c r="B101" s="12" t="s">
        <v>228</v>
      </c>
      <c r="C101" s="13" t="s">
        <v>229</v>
      </c>
      <c r="D101" s="14" t="s">
        <v>22</v>
      </c>
      <c r="E101" s="15">
        <v>1</v>
      </c>
      <c r="F101" s="35">
        <v>11078</v>
      </c>
      <c r="G101" s="36">
        <f t="shared" si="1"/>
        <v>11078</v>
      </c>
      <c r="H101" s="13"/>
    </row>
    <row r="102" ht="16.2" spans="1:8">
      <c r="A102" s="50" t="s">
        <v>23</v>
      </c>
      <c r="B102" s="50"/>
      <c r="C102" s="50"/>
      <c r="D102" s="50"/>
      <c r="E102" s="50"/>
      <c r="F102" s="35"/>
      <c r="G102" s="51">
        <f>SUM(G7:G101)</f>
        <v>6905686</v>
      </c>
      <c r="H102" s="13"/>
    </row>
    <row r="103" ht="16.2" spans="1:8">
      <c r="A103" s="38" t="s">
        <v>230</v>
      </c>
      <c r="B103" s="38"/>
      <c r="C103" s="50"/>
      <c r="D103" s="50"/>
      <c r="E103" s="50"/>
      <c r="F103" s="35"/>
      <c r="G103" s="51"/>
      <c r="H103" s="13"/>
    </row>
    <row r="104" outlineLevel="1" spans="1:8">
      <c r="A104" s="11" t="s">
        <v>231</v>
      </c>
      <c r="B104" s="33" t="s">
        <v>208</v>
      </c>
      <c r="C104" s="40" t="s">
        <v>232</v>
      </c>
      <c r="D104" s="14" t="s">
        <v>22</v>
      </c>
      <c r="E104" s="15">
        <v>1</v>
      </c>
      <c r="F104" s="35">
        <v>11078</v>
      </c>
      <c r="G104" s="36">
        <f t="shared" ref="G104:G120" si="2">F104*E104</f>
        <v>11078</v>
      </c>
      <c r="H104" s="13"/>
    </row>
    <row r="105" ht="76.5" customHeight="1" outlineLevel="1" spans="1:8">
      <c r="A105" s="11" t="s">
        <v>233</v>
      </c>
      <c r="B105" s="43" t="s">
        <v>234</v>
      </c>
      <c r="C105" s="44" t="s">
        <v>235</v>
      </c>
      <c r="D105" s="14" t="s">
        <v>22</v>
      </c>
      <c r="E105" s="15">
        <v>1</v>
      </c>
      <c r="F105" s="35">
        <v>33236</v>
      </c>
      <c r="G105" s="36">
        <f t="shared" si="2"/>
        <v>33236</v>
      </c>
      <c r="H105" s="13"/>
    </row>
    <row r="106" ht="93.6" outlineLevel="1" spans="1:8">
      <c r="A106" s="11" t="s">
        <v>236</v>
      </c>
      <c r="B106" s="43" t="s">
        <v>237</v>
      </c>
      <c r="C106" s="44" t="s">
        <v>238</v>
      </c>
      <c r="D106" s="14" t="s">
        <v>22</v>
      </c>
      <c r="E106" s="15">
        <v>1</v>
      </c>
      <c r="F106" s="35">
        <v>44315</v>
      </c>
      <c r="G106" s="36">
        <f t="shared" si="2"/>
        <v>44315</v>
      </c>
      <c r="H106" s="13"/>
    </row>
    <row r="107" ht="46.8" outlineLevel="1" spans="1:8">
      <c r="A107" s="11" t="s">
        <v>239</v>
      </c>
      <c r="B107" s="43" t="s">
        <v>240</v>
      </c>
      <c r="C107" s="44" t="s">
        <v>241</v>
      </c>
      <c r="D107" s="14" t="s">
        <v>22</v>
      </c>
      <c r="E107" s="15">
        <v>1</v>
      </c>
      <c r="F107" s="35">
        <v>33236</v>
      </c>
      <c r="G107" s="36">
        <f t="shared" si="2"/>
        <v>33236</v>
      </c>
      <c r="H107" s="13"/>
    </row>
    <row r="108" ht="31.2" outlineLevel="1" spans="1:8">
      <c r="A108" s="11" t="s">
        <v>242</v>
      </c>
      <c r="B108" s="42" t="s">
        <v>243</v>
      </c>
      <c r="C108" s="42" t="s">
        <v>244</v>
      </c>
      <c r="D108" s="14" t="s">
        <v>22</v>
      </c>
      <c r="E108" s="15">
        <v>1</v>
      </c>
      <c r="F108" s="35">
        <v>17726</v>
      </c>
      <c r="G108" s="36">
        <f t="shared" si="2"/>
        <v>17726</v>
      </c>
      <c r="H108" s="13"/>
    </row>
    <row r="109" ht="46.8" outlineLevel="1" spans="1:8">
      <c r="A109" s="11" t="s">
        <v>245</v>
      </c>
      <c r="B109" s="42" t="s">
        <v>48</v>
      </c>
      <c r="C109" s="42" t="s">
        <v>246</v>
      </c>
      <c r="D109" s="14" t="s">
        <v>22</v>
      </c>
      <c r="E109" s="15">
        <v>1</v>
      </c>
      <c r="F109" s="35">
        <v>4431</v>
      </c>
      <c r="G109" s="36">
        <f t="shared" si="2"/>
        <v>4431</v>
      </c>
      <c r="H109" s="13"/>
    </row>
    <row r="110" ht="93.6" outlineLevel="1" spans="1:8">
      <c r="A110" s="11" t="s">
        <v>247</v>
      </c>
      <c r="B110" s="42" t="s">
        <v>248</v>
      </c>
      <c r="C110" s="42" t="s">
        <v>249</v>
      </c>
      <c r="D110" s="14" t="s">
        <v>22</v>
      </c>
      <c r="E110" s="15">
        <v>1</v>
      </c>
      <c r="F110" s="35">
        <v>77552</v>
      </c>
      <c r="G110" s="36">
        <f t="shared" si="2"/>
        <v>77552</v>
      </c>
      <c r="H110" s="13"/>
    </row>
    <row r="111" ht="31.2" outlineLevel="1" spans="1:8">
      <c r="A111" s="11" t="s">
        <v>250</v>
      </c>
      <c r="B111" s="42" t="s">
        <v>87</v>
      </c>
      <c r="C111" s="42" t="s">
        <v>251</v>
      </c>
      <c r="D111" s="14" t="s">
        <v>22</v>
      </c>
      <c r="E111" s="15">
        <v>1</v>
      </c>
      <c r="F111" s="35">
        <v>17726</v>
      </c>
      <c r="G111" s="36">
        <f t="shared" si="2"/>
        <v>17726</v>
      </c>
      <c r="H111" s="13"/>
    </row>
    <row r="112" ht="31.2" outlineLevel="1" spans="1:8">
      <c r="A112" s="11" t="s">
        <v>252</v>
      </c>
      <c r="B112" s="42" t="s">
        <v>253</v>
      </c>
      <c r="C112" s="42" t="s">
        <v>254</v>
      </c>
      <c r="D112" s="14" t="s">
        <v>22</v>
      </c>
      <c r="E112" s="15">
        <v>1</v>
      </c>
      <c r="F112" s="35">
        <v>11078</v>
      </c>
      <c r="G112" s="36">
        <f t="shared" si="2"/>
        <v>11078</v>
      </c>
      <c r="H112" s="13"/>
    </row>
    <row r="113" ht="62.4" outlineLevel="1" spans="1:8">
      <c r="A113" s="11" t="s">
        <v>255</v>
      </c>
      <c r="B113" s="42" t="s">
        <v>101</v>
      </c>
      <c r="C113" s="42" t="s">
        <v>256</v>
      </c>
      <c r="D113" s="14" t="s">
        <v>22</v>
      </c>
      <c r="E113" s="15">
        <v>1</v>
      </c>
      <c r="F113" s="35">
        <v>88631</v>
      </c>
      <c r="G113" s="36">
        <f t="shared" si="2"/>
        <v>88631</v>
      </c>
      <c r="H113" s="13"/>
    </row>
    <row r="114" outlineLevel="1" spans="1:8">
      <c r="A114" s="11" t="s">
        <v>257</v>
      </c>
      <c r="B114" s="42" t="s">
        <v>258</v>
      </c>
      <c r="C114" s="42" t="s">
        <v>259</v>
      </c>
      <c r="D114" s="14" t="s">
        <v>22</v>
      </c>
      <c r="E114" s="15">
        <v>1</v>
      </c>
      <c r="F114" s="35">
        <v>33236</v>
      </c>
      <c r="G114" s="36">
        <f t="shared" si="2"/>
        <v>33236</v>
      </c>
      <c r="H114" s="13"/>
    </row>
    <row r="115" ht="46.8" outlineLevel="1" spans="1:8">
      <c r="A115" s="11" t="s">
        <v>260</v>
      </c>
      <c r="B115" s="42" t="s">
        <v>261</v>
      </c>
      <c r="C115" s="42" t="s">
        <v>262</v>
      </c>
      <c r="D115" s="14" t="s">
        <v>22</v>
      </c>
      <c r="E115" s="15">
        <v>1</v>
      </c>
      <c r="F115" s="35">
        <v>6647</v>
      </c>
      <c r="G115" s="36">
        <f t="shared" si="2"/>
        <v>6647</v>
      </c>
      <c r="H115" s="13"/>
    </row>
    <row r="116" ht="46.8" outlineLevel="1" spans="1:8">
      <c r="A116" s="11" t="s">
        <v>263</v>
      </c>
      <c r="B116" s="42" t="s">
        <v>264</v>
      </c>
      <c r="C116" s="42" t="s">
        <v>265</v>
      </c>
      <c r="D116" s="14" t="s">
        <v>22</v>
      </c>
      <c r="E116" s="15">
        <v>1</v>
      </c>
      <c r="F116" s="35">
        <v>6647</v>
      </c>
      <c r="G116" s="36">
        <f t="shared" si="2"/>
        <v>6647</v>
      </c>
      <c r="H116" s="13"/>
    </row>
    <row r="117" ht="31.2" outlineLevel="1" spans="1:8">
      <c r="A117" s="11" t="s">
        <v>266</v>
      </c>
      <c r="B117" s="42" t="s">
        <v>267</v>
      </c>
      <c r="C117" s="42" t="s">
        <v>268</v>
      </c>
      <c r="D117" s="14" t="s">
        <v>22</v>
      </c>
      <c r="E117" s="15">
        <v>1</v>
      </c>
      <c r="F117" s="35">
        <v>44315</v>
      </c>
      <c r="G117" s="36">
        <f t="shared" si="2"/>
        <v>44315</v>
      </c>
      <c r="H117" s="13"/>
    </row>
    <row r="118" ht="46.8" outlineLevel="1" spans="1:8">
      <c r="A118" s="11" t="s">
        <v>269</v>
      </c>
      <c r="B118" s="42" t="s">
        <v>270</v>
      </c>
      <c r="C118" s="42" t="s">
        <v>271</v>
      </c>
      <c r="D118" s="14" t="s">
        <v>22</v>
      </c>
      <c r="E118" s="15">
        <v>1</v>
      </c>
      <c r="F118" s="35">
        <v>4431</v>
      </c>
      <c r="G118" s="36">
        <f t="shared" si="2"/>
        <v>4431</v>
      </c>
      <c r="H118" s="13"/>
    </row>
    <row r="119" ht="62.4" outlineLevel="1" spans="1:8">
      <c r="A119" s="11" t="s">
        <v>272</v>
      </c>
      <c r="B119" s="42" t="s">
        <v>218</v>
      </c>
      <c r="C119" s="42" t="s">
        <v>273</v>
      </c>
      <c r="D119" s="14" t="s">
        <v>22</v>
      </c>
      <c r="E119" s="15">
        <v>1</v>
      </c>
      <c r="F119" s="35">
        <v>4431</v>
      </c>
      <c r="G119" s="36">
        <f t="shared" si="2"/>
        <v>4431</v>
      </c>
      <c r="H119" s="13"/>
    </row>
    <row r="120" ht="46.8" spans="1:8">
      <c r="A120" s="11" t="s">
        <v>274</v>
      </c>
      <c r="B120" s="33" t="s">
        <v>214</v>
      </c>
      <c r="C120" s="40" t="s">
        <v>275</v>
      </c>
      <c r="D120" s="14" t="s">
        <v>22</v>
      </c>
      <c r="E120" s="15">
        <v>1</v>
      </c>
      <c r="F120" s="35">
        <v>199421</v>
      </c>
      <c r="G120" s="36">
        <f t="shared" si="2"/>
        <v>199421</v>
      </c>
      <c r="H120" s="13"/>
    </row>
    <row r="121" ht="16.2" outlineLevel="1" spans="1:8">
      <c r="A121" s="50" t="s">
        <v>23</v>
      </c>
      <c r="B121" s="50"/>
      <c r="C121" s="50"/>
      <c r="D121" s="50"/>
      <c r="E121" s="50"/>
      <c r="F121" s="35"/>
      <c r="G121" s="52">
        <f t="shared" ref="G121" si="3">SUM(G104:G120)</f>
        <v>638137</v>
      </c>
      <c r="H121" s="13"/>
    </row>
    <row r="122" ht="16.2" spans="1:8">
      <c r="A122" s="38" t="s">
        <v>276</v>
      </c>
      <c r="B122" s="38"/>
      <c r="C122" s="50"/>
      <c r="D122" s="50"/>
      <c r="E122" s="50"/>
      <c r="F122" s="35"/>
      <c r="G122" s="51"/>
      <c r="H122" s="13"/>
    </row>
    <row r="123" ht="62.4" outlineLevel="1" spans="1:8">
      <c r="A123" s="11" t="s">
        <v>277</v>
      </c>
      <c r="B123" s="33" t="s">
        <v>278</v>
      </c>
      <c r="C123" s="34" t="s">
        <v>279</v>
      </c>
      <c r="D123" s="14" t="s">
        <v>22</v>
      </c>
      <c r="E123" s="15">
        <v>1</v>
      </c>
      <c r="F123" s="35">
        <v>354526</v>
      </c>
      <c r="G123" s="36">
        <f>F123*E123</f>
        <v>354526</v>
      </c>
      <c r="H123" s="42" t="s">
        <v>280</v>
      </c>
    </row>
    <row r="124" ht="118.5" customHeight="1" outlineLevel="1" spans="1:8">
      <c r="A124" s="11" t="s">
        <v>281</v>
      </c>
      <c r="B124" s="12" t="s">
        <v>282</v>
      </c>
      <c r="C124" s="42" t="s">
        <v>283</v>
      </c>
      <c r="D124" s="14" t="s">
        <v>22</v>
      </c>
      <c r="E124" s="15">
        <v>1</v>
      </c>
      <c r="F124" s="35">
        <v>755585</v>
      </c>
      <c r="G124" s="36">
        <f>F124*E124</f>
        <v>755585</v>
      </c>
      <c r="H124" s="13"/>
    </row>
    <row r="125" ht="16.2" outlineLevel="1" spans="1:8">
      <c r="A125" s="50" t="s">
        <v>23</v>
      </c>
      <c r="B125" s="50"/>
      <c r="C125" s="50"/>
      <c r="D125" s="50"/>
      <c r="E125" s="50"/>
      <c r="F125" s="35"/>
      <c r="G125" s="52">
        <f t="shared" ref="G125" si="4">SUM(G123:G124)</f>
        <v>1110111</v>
      </c>
      <c r="H125" s="13"/>
    </row>
    <row r="126" ht="16.2" spans="1:8">
      <c r="A126" s="38" t="s">
        <v>284</v>
      </c>
      <c r="B126" s="38"/>
      <c r="C126" s="50"/>
      <c r="D126" s="50"/>
      <c r="E126" s="50"/>
      <c r="F126" s="35"/>
      <c r="G126" s="51"/>
      <c r="H126" s="13"/>
    </row>
    <row r="127" ht="46.8" outlineLevel="1" spans="1:8">
      <c r="A127" s="11" t="s">
        <v>285</v>
      </c>
      <c r="B127" s="53" t="s">
        <v>286</v>
      </c>
      <c r="C127" s="20" t="s">
        <v>287</v>
      </c>
      <c r="D127" s="14" t="s">
        <v>22</v>
      </c>
      <c r="E127" s="15">
        <v>1</v>
      </c>
      <c r="F127" s="35">
        <v>132947</v>
      </c>
      <c r="G127" s="36">
        <f t="shared" ref="G127:G161" si="5">F127*E127</f>
        <v>132947</v>
      </c>
      <c r="H127" s="13"/>
    </row>
    <row r="128" outlineLevel="1" spans="1:8">
      <c r="A128" s="11" t="s">
        <v>288</v>
      </c>
      <c r="B128" s="53" t="s">
        <v>289</v>
      </c>
      <c r="C128" s="20"/>
      <c r="D128" s="14"/>
      <c r="E128" s="15"/>
      <c r="F128" s="35"/>
      <c r="G128" s="36">
        <f t="shared" si="5"/>
        <v>0</v>
      </c>
      <c r="H128" s="13"/>
    </row>
    <row r="129" outlineLevel="1" spans="1:8">
      <c r="A129" s="11" t="s">
        <v>290</v>
      </c>
      <c r="B129" s="20" t="s">
        <v>291</v>
      </c>
      <c r="C129" s="47"/>
      <c r="D129" s="14" t="s">
        <v>22</v>
      </c>
      <c r="E129" s="15">
        <v>1</v>
      </c>
      <c r="F129" s="35">
        <v>55394</v>
      </c>
      <c r="G129" s="36">
        <f t="shared" si="5"/>
        <v>55394</v>
      </c>
      <c r="H129" s="13"/>
    </row>
    <row r="130" outlineLevel="1" spans="1:8">
      <c r="A130" s="11" t="s">
        <v>292</v>
      </c>
      <c r="B130" s="20" t="s">
        <v>293</v>
      </c>
      <c r="C130" s="47"/>
      <c r="D130" s="14" t="s">
        <v>22</v>
      </c>
      <c r="E130" s="15">
        <v>1</v>
      </c>
      <c r="F130" s="35">
        <v>11078</v>
      </c>
      <c r="G130" s="36">
        <f t="shared" si="5"/>
        <v>11078</v>
      </c>
      <c r="H130" s="13"/>
    </row>
    <row r="131" outlineLevel="1" spans="1:8">
      <c r="A131" s="11" t="s">
        <v>294</v>
      </c>
      <c r="B131" s="20" t="s">
        <v>295</v>
      </c>
      <c r="C131" s="47"/>
      <c r="D131" s="14" t="s">
        <v>22</v>
      </c>
      <c r="E131" s="15">
        <v>1</v>
      </c>
      <c r="F131" s="35">
        <v>11078</v>
      </c>
      <c r="G131" s="36">
        <f t="shared" si="5"/>
        <v>11078</v>
      </c>
      <c r="H131" s="13"/>
    </row>
    <row r="132" outlineLevel="1" spans="1:8">
      <c r="A132" s="11" t="s">
        <v>296</v>
      </c>
      <c r="B132" s="54" t="s">
        <v>297</v>
      </c>
      <c r="C132" s="47"/>
      <c r="D132" s="14" t="s">
        <v>22</v>
      </c>
      <c r="E132" s="15">
        <v>1</v>
      </c>
      <c r="F132" s="35">
        <v>66473</v>
      </c>
      <c r="G132" s="36">
        <f t="shared" si="5"/>
        <v>66473</v>
      </c>
      <c r="H132" s="13"/>
    </row>
    <row r="133" ht="62.4" outlineLevel="1" spans="1:8">
      <c r="A133" s="11" t="s">
        <v>298</v>
      </c>
      <c r="B133" s="20" t="s">
        <v>299</v>
      </c>
      <c r="C133" s="55" t="s">
        <v>300</v>
      </c>
      <c r="D133" s="14" t="s">
        <v>22</v>
      </c>
      <c r="E133" s="15">
        <v>1</v>
      </c>
      <c r="F133" s="35">
        <v>443158</v>
      </c>
      <c r="G133" s="36">
        <f t="shared" si="5"/>
        <v>443158</v>
      </c>
      <c r="H133" s="13"/>
    </row>
    <row r="134" outlineLevel="1" spans="1:8">
      <c r="A134" s="11" t="s">
        <v>301</v>
      </c>
      <c r="B134" s="20" t="s">
        <v>302</v>
      </c>
      <c r="C134" s="47"/>
      <c r="D134" s="14"/>
      <c r="E134" s="15"/>
      <c r="F134" s="35"/>
      <c r="G134" s="36">
        <f t="shared" si="5"/>
        <v>0</v>
      </c>
      <c r="H134" s="47" t="s">
        <v>303</v>
      </c>
    </row>
    <row r="135" ht="62.4" outlineLevel="1" spans="1:8">
      <c r="A135" s="11"/>
      <c r="B135" s="56" t="s">
        <v>304</v>
      </c>
      <c r="C135" s="55" t="s">
        <v>305</v>
      </c>
      <c r="D135" s="14" t="s">
        <v>22</v>
      </c>
      <c r="E135" s="15">
        <v>1</v>
      </c>
      <c r="F135" s="35">
        <v>375000</v>
      </c>
      <c r="G135" s="36">
        <f t="shared" si="5"/>
        <v>375000</v>
      </c>
      <c r="H135" s="13" t="s">
        <v>306</v>
      </c>
    </row>
    <row r="136" ht="46.8" outlineLevel="1" spans="1:8">
      <c r="A136" s="11"/>
      <c r="B136" s="56" t="s">
        <v>307</v>
      </c>
      <c r="C136" s="57" t="s">
        <v>308</v>
      </c>
      <c r="D136" s="14" t="s">
        <v>22</v>
      </c>
      <c r="E136" s="15">
        <v>1</v>
      </c>
      <c r="F136" s="35">
        <v>330000</v>
      </c>
      <c r="G136" s="36">
        <f t="shared" si="5"/>
        <v>330000</v>
      </c>
      <c r="H136" s="13"/>
    </row>
    <row r="137" s="23" customFormat="1" ht="78" outlineLevel="1" spans="1:8">
      <c r="A137" s="11" t="s">
        <v>309</v>
      </c>
      <c r="B137" s="56" t="s">
        <v>310</v>
      </c>
      <c r="C137" s="57" t="s">
        <v>311</v>
      </c>
      <c r="D137" s="14" t="s">
        <v>22</v>
      </c>
      <c r="E137" s="15">
        <v>1</v>
      </c>
      <c r="F137" s="35">
        <v>600000</v>
      </c>
      <c r="G137" s="36">
        <f t="shared" si="5"/>
        <v>600000</v>
      </c>
      <c r="H137" s="13"/>
    </row>
    <row r="138" outlineLevel="1" spans="1:8">
      <c r="A138" s="11" t="s">
        <v>312</v>
      </c>
      <c r="B138" s="53" t="s">
        <v>313</v>
      </c>
      <c r="C138" s="20"/>
      <c r="D138" s="11"/>
      <c r="E138" s="58"/>
      <c r="F138" s="35"/>
      <c r="G138" s="36">
        <f t="shared" si="5"/>
        <v>0</v>
      </c>
      <c r="H138" s="13"/>
    </row>
    <row r="139" outlineLevel="1" spans="1:8">
      <c r="A139" s="11" t="s">
        <v>314</v>
      </c>
      <c r="B139" s="53" t="s">
        <v>315</v>
      </c>
      <c r="C139" s="53" t="s">
        <v>316</v>
      </c>
      <c r="D139" s="11" t="s">
        <v>317</v>
      </c>
      <c r="E139" s="15">
        <v>1</v>
      </c>
      <c r="F139" s="35">
        <v>55394</v>
      </c>
      <c r="G139" s="36">
        <f t="shared" si="5"/>
        <v>55394</v>
      </c>
      <c r="H139" s="13"/>
    </row>
    <row r="140" outlineLevel="1" spans="1:8">
      <c r="A140" s="11" t="s">
        <v>318</v>
      </c>
      <c r="B140" s="53" t="s">
        <v>319</v>
      </c>
      <c r="C140" s="53" t="s">
        <v>320</v>
      </c>
      <c r="D140" s="11" t="s">
        <v>317</v>
      </c>
      <c r="E140" s="15">
        <v>1</v>
      </c>
      <c r="F140" s="35">
        <v>11078</v>
      </c>
      <c r="G140" s="36">
        <f t="shared" si="5"/>
        <v>11078</v>
      </c>
      <c r="H140" s="13"/>
    </row>
    <row r="141" outlineLevel="1" spans="1:8">
      <c r="A141" s="11" t="s">
        <v>321</v>
      </c>
      <c r="B141" s="59" t="s">
        <v>322</v>
      </c>
      <c r="C141" s="53" t="s">
        <v>323</v>
      </c>
      <c r="D141" s="11" t="s">
        <v>22</v>
      </c>
      <c r="E141" s="15">
        <v>1</v>
      </c>
      <c r="F141" s="35">
        <v>22157</v>
      </c>
      <c r="G141" s="36">
        <f t="shared" si="5"/>
        <v>22157</v>
      </c>
      <c r="H141" s="13"/>
    </row>
    <row r="142" outlineLevel="1" spans="1:8">
      <c r="A142" s="11" t="s">
        <v>324</v>
      </c>
      <c r="B142" s="53" t="s">
        <v>107</v>
      </c>
      <c r="C142" s="53" t="s">
        <v>325</v>
      </c>
      <c r="D142" s="11" t="s">
        <v>317</v>
      </c>
      <c r="E142" s="15">
        <v>1</v>
      </c>
      <c r="F142" s="35">
        <v>22157</v>
      </c>
      <c r="G142" s="36">
        <f t="shared" si="5"/>
        <v>22157</v>
      </c>
      <c r="H142" s="13"/>
    </row>
    <row r="143" outlineLevel="1" spans="1:8">
      <c r="A143" s="11" t="s">
        <v>326</v>
      </c>
      <c r="B143" s="53" t="s">
        <v>110</v>
      </c>
      <c r="C143" s="53" t="s">
        <v>325</v>
      </c>
      <c r="D143" s="11" t="s">
        <v>317</v>
      </c>
      <c r="E143" s="15">
        <v>1</v>
      </c>
      <c r="F143" s="35">
        <v>22157</v>
      </c>
      <c r="G143" s="36">
        <f t="shared" si="5"/>
        <v>22157</v>
      </c>
      <c r="H143" s="13"/>
    </row>
    <row r="144" outlineLevel="1" spans="1:8">
      <c r="A144" s="11" t="s">
        <v>327</v>
      </c>
      <c r="B144" s="53" t="s">
        <v>328</v>
      </c>
      <c r="C144" s="53" t="s">
        <v>325</v>
      </c>
      <c r="D144" s="11" t="s">
        <v>317</v>
      </c>
      <c r="E144" s="15">
        <v>1</v>
      </c>
      <c r="F144" s="35">
        <v>22157</v>
      </c>
      <c r="G144" s="36">
        <f t="shared" si="5"/>
        <v>22157</v>
      </c>
      <c r="H144" s="13"/>
    </row>
    <row r="145" outlineLevel="1" spans="1:9">
      <c r="A145" s="11" t="s">
        <v>329</v>
      </c>
      <c r="B145" s="53" t="s">
        <v>330</v>
      </c>
      <c r="C145" s="53" t="s">
        <v>325</v>
      </c>
      <c r="D145" s="11" t="s">
        <v>317</v>
      </c>
      <c r="E145" s="15">
        <v>1</v>
      </c>
      <c r="F145" s="35">
        <v>22157</v>
      </c>
      <c r="G145" s="36">
        <f t="shared" si="5"/>
        <v>22157</v>
      </c>
      <c r="H145" s="13"/>
    </row>
    <row r="146" outlineLevel="1" spans="1:9">
      <c r="A146" s="11" t="s">
        <v>331</v>
      </c>
      <c r="B146" s="53" t="s">
        <v>332</v>
      </c>
      <c r="C146" s="53" t="s">
        <v>325</v>
      </c>
      <c r="D146" s="11" t="s">
        <v>317</v>
      </c>
      <c r="E146" s="15">
        <v>1</v>
      </c>
      <c r="F146" s="35">
        <v>22157</v>
      </c>
      <c r="G146" s="36">
        <f t="shared" si="5"/>
        <v>22157</v>
      </c>
      <c r="H146" s="13"/>
    </row>
    <row r="147" outlineLevel="1" spans="1:9">
      <c r="A147" s="11" t="s">
        <v>333</v>
      </c>
      <c r="B147" s="53" t="s">
        <v>334</v>
      </c>
      <c r="C147" s="53" t="s">
        <v>325</v>
      </c>
      <c r="D147" s="11" t="s">
        <v>317</v>
      </c>
      <c r="E147" s="15">
        <v>1</v>
      </c>
      <c r="F147" s="35">
        <v>22157</v>
      </c>
      <c r="G147" s="36">
        <f t="shared" si="5"/>
        <v>22157</v>
      </c>
      <c r="H147" s="13"/>
    </row>
    <row r="148" outlineLevel="1" spans="1:9">
      <c r="A148" s="11" t="s">
        <v>335</v>
      </c>
      <c r="B148" s="53" t="s">
        <v>336</v>
      </c>
      <c r="C148" s="53" t="s">
        <v>325</v>
      </c>
      <c r="D148" s="11" t="s">
        <v>317</v>
      </c>
      <c r="E148" s="15">
        <v>1</v>
      </c>
      <c r="F148" s="35">
        <v>22157</v>
      </c>
      <c r="G148" s="36">
        <f t="shared" si="5"/>
        <v>22157</v>
      </c>
      <c r="H148" s="13"/>
    </row>
    <row r="149" outlineLevel="1" spans="1:9">
      <c r="A149" s="11" t="s">
        <v>337</v>
      </c>
      <c r="B149" s="53" t="s">
        <v>338</v>
      </c>
      <c r="C149" s="53" t="s">
        <v>325</v>
      </c>
      <c r="D149" s="11" t="s">
        <v>317</v>
      </c>
      <c r="E149" s="15">
        <v>1</v>
      </c>
      <c r="F149" s="35">
        <v>22157</v>
      </c>
      <c r="G149" s="36">
        <f t="shared" si="5"/>
        <v>22157</v>
      </c>
      <c r="H149" s="13"/>
    </row>
    <row r="150" outlineLevel="1" spans="1:9">
      <c r="A150" s="11" t="s">
        <v>339</v>
      </c>
      <c r="B150" s="53" t="s">
        <v>340</v>
      </c>
      <c r="C150" s="53" t="s">
        <v>325</v>
      </c>
      <c r="D150" s="11" t="s">
        <v>317</v>
      </c>
      <c r="E150" s="15">
        <v>1</v>
      </c>
      <c r="F150" s="35">
        <v>22157</v>
      </c>
      <c r="G150" s="36">
        <f t="shared" si="5"/>
        <v>22157</v>
      </c>
      <c r="H150" s="13"/>
    </row>
    <row r="151" outlineLevel="1" spans="1:9">
      <c r="A151" s="11" t="s">
        <v>341</v>
      </c>
      <c r="B151" s="53" t="s">
        <v>342</v>
      </c>
      <c r="C151" s="53" t="s">
        <v>325</v>
      </c>
      <c r="D151" s="11" t="s">
        <v>317</v>
      </c>
      <c r="E151" s="15">
        <v>1</v>
      </c>
      <c r="F151" s="35">
        <v>22157</v>
      </c>
      <c r="G151" s="36">
        <f t="shared" si="5"/>
        <v>22157</v>
      </c>
      <c r="H151" s="13"/>
    </row>
    <row r="152" outlineLevel="1" spans="1:9">
      <c r="A152" s="11" t="s">
        <v>343</v>
      </c>
      <c r="B152" s="53" t="s">
        <v>344</v>
      </c>
      <c r="C152" s="53" t="s">
        <v>325</v>
      </c>
      <c r="D152" s="11" t="s">
        <v>317</v>
      </c>
      <c r="E152" s="15">
        <v>1</v>
      </c>
      <c r="F152" s="35">
        <v>22157</v>
      </c>
      <c r="G152" s="36">
        <f t="shared" si="5"/>
        <v>22157</v>
      </c>
      <c r="H152" s="13"/>
    </row>
    <row r="153" outlineLevel="1" spans="1:9">
      <c r="A153" s="11" t="s">
        <v>345</v>
      </c>
      <c r="B153" s="53" t="s">
        <v>346</v>
      </c>
      <c r="C153" s="53" t="s">
        <v>325</v>
      </c>
      <c r="D153" s="11" t="s">
        <v>317</v>
      </c>
      <c r="E153" s="15">
        <v>1</v>
      </c>
      <c r="F153" s="35">
        <v>22157</v>
      </c>
      <c r="G153" s="36">
        <f t="shared" si="5"/>
        <v>22157</v>
      </c>
      <c r="H153" s="13"/>
    </row>
    <row r="154" outlineLevel="1" spans="1:9">
      <c r="A154" s="11" t="s">
        <v>347</v>
      </c>
      <c r="B154" s="53" t="s">
        <v>65</v>
      </c>
      <c r="C154" s="53" t="s">
        <v>325</v>
      </c>
      <c r="D154" s="11" t="s">
        <v>317</v>
      </c>
      <c r="E154" s="15">
        <v>1</v>
      </c>
      <c r="F154" s="35">
        <v>22157</v>
      </c>
      <c r="G154" s="36">
        <f t="shared" si="5"/>
        <v>22157</v>
      </c>
      <c r="H154" s="13"/>
    </row>
    <row r="155" outlineLevel="1" spans="1:9">
      <c r="A155" s="11" t="s">
        <v>348</v>
      </c>
      <c r="B155" s="53" t="s">
        <v>68</v>
      </c>
      <c r="C155" s="53" t="s">
        <v>325</v>
      </c>
      <c r="D155" s="11" t="s">
        <v>317</v>
      </c>
      <c r="E155" s="15">
        <v>1</v>
      </c>
      <c r="F155" s="35">
        <v>22157</v>
      </c>
      <c r="G155" s="36">
        <f t="shared" si="5"/>
        <v>22157</v>
      </c>
      <c r="H155" s="13"/>
    </row>
    <row r="156" outlineLevel="1" spans="1:9">
      <c r="A156" s="11" t="s">
        <v>349</v>
      </c>
      <c r="B156" s="53" t="s">
        <v>350</v>
      </c>
      <c r="C156" s="53" t="s">
        <v>325</v>
      </c>
      <c r="D156" s="11" t="s">
        <v>317</v>
      </c>
      <c r="E156" s="15">
        <v>1</v>
      </c>
      <c r="F156" s="35">
        <v>28805</v>
      </c>
      <c r="G156" s="36">
        <f t="shared" si="5"/>
        <v>28805</v>
      </c>
      <c r="H156" s="13"/>
    </row>
    <row r="157" outlineLevel="1" spans="1:9">
      <c r="A157" s="11" t="s">
        <v>351</v>
      </c>
      <c r="B157" s="53" t="s">
        <v>352</v>
      </c>
      <c r="C157" s="53" t="s">
        <v>325</v>
      </c>
      <c r="D157" s="11" t="s">
        <v>317</v>
      </c>
      <c r="E157" s="15">
        <v>1</v>
      </c>
      <c r="F157" s="35">
        <v>24373</v>
      </c>
      <c r="G157" s="36">
        <f t="shared" si="5"/>
        <v>24373</v>
      </c>
      <c r="H157" s="13"/>
      <c r="I157" s="23"/>
    </row>
    <row r="158" outlineLevel="1" spans="1:9">
      <c r="A158" s="11" t="s">
        <v>353</v>
      </c>
      <c r="B158" s="53" t="s">
        <v>354</v>
      </c>
      <c r="C158" s="53" t="s">
        <v>325</v>
      </c>
      <c r="D158" s="11" t="s">
        <v>317</v>
      </c>
      <c r="E158" s="15">
        <v>1</v>
      </c>
      <c r="F158" s="35">
        <v>24373</v>
      </c>
      <c r="G158" s="36">
        <f t="shared" si="5"/>
        <v>24373</v>
      </c>
      <c r="H158" s="13"/>
      <c r="I158" s="23"/>
    </row>
    <row r="159" outlineLevel="1" spans="1:9">
      <c r="A159" s="11" t="s">
        <v>355</v>
      </c>
      <c r="B159" s="53" t="s">
        <v>356</v>
      </c>
      <c r="C159" s="53" t="s">
        <v>325</v>
      </c>
      <c r="D159" s="11" t="s">
        <v>317</v>
      </c>
      <c r="E159" s="15">
        <v>1</v>
      </c>
      <c r="F159" s="35">
        <v>24373</v>
      </c>
      <c r="G159" s="36">
        <f t="shared" si="5"/>
        <v>24373</v>
      </c>
      <c r="H159" s="13"/>
      <c r="I159" s="23"/>
    </row>
    <row r="160" outlineLevel="1" spans="1:9">
      <c r="A160" s="11" t="s">
        <v>357</v>
      </c>
      <c r="B160" s="53" t="s">
        <v>358</v>
      </c>
      <c r="C160" s="53" t="s">
        <v>325</v>
      </c>
      <c r="D160" s="11" t="s">
        <v>317</v>
      </c>
      <c r="E160" s="15">
        <v>1</v>
      </c>
      <c r="F160" s="35">
        <v>15510</v>
      </c>
      <c r="G160" s="36">
        <f t="shared" si="5"/>
        <v>15510</v>
      </c>
      <c r="H160" s="13"/>
      <c r="I160" s="23"/>
    </row>
    <row r="161" outlineLevel="1" spans="1:8">
      <c r="A161" s="11" t="s">
        <v>359</v>
      </c>
      <c r="B161" s="53" t="s">
        <v>360</v>
      </c>
      <c r="C161" s="53" t="s">
        <v>325</v>
      </c>
      <c r="D161" s="11" t="s">
        <v>317</v>
      </c>
      <c r="E161" s="15">
        <v>1</v>
      </c>
      <c r="F161" s="35">
        <v>28805</v>
      </c>
      <c r="G161" s="36">
        <f t="shared" si="5"/>
        <v>28805</v>
      </c>
      <c r="H161" s="13"/>
    </row>
    <row r="162" ht="16.2" spans="1:8">
      <c r="A162" s="50" t="s">
        <v>23</v>
      </c>
      <c r="B162" s="50"/>
      <c r="C162" s="50"/>
      <c r="D162" s="50"/>
      <c r="E162" s="50"/>
      <c r="F162" s="35"/>
      <c r="G162" s="60">
        <f>SUM(G127:G161)</f>
        <v>2570194</v>
      </c>
      <c r="H162" s="13"/>
    </row>
    <row r="163" ht="16.2" spans="1:8">
      <c r="A163" s="38" t="s">
        <v>361</v>
      </c>
      <c r="B163" s="38"/>
      <c r="C163" s="50"/>
      <c r="D163" s="50"/>
      <c r="E163" s="50"/>
      <c r="F163" s="35"/>
      <c r="G163" s="51"/>
      <c r="H163" s="13"/>
    </row>
    <row r="164" ht="109.2" outlineLevel="1" spans="1:8">
      <c r="A164" s="11" t="s">
        <v>362</v>
      </c>
      <c r="B164" s="33" t="s">
        <v>363</v>
      </c>
      <c r="C164" s="34" t="s">
        <v>364</v>
      </c>
      <c r="D164" s="11" t="s">
        <v>317</v>
      </c>
      <c r="E164" s="15">
        <v>1</v>
      </c>
      <c r="F164" s="35">
        <v>121868</v>
      </c>
      <c r="G164" s="36">
        <f>F164*E164</f>
        <v>121868</v>
      </c>
      <c r="H164" s="42"/>
    </row>
    <row r="165" ht="87" customHeight="1" outlineLevel="1" spans="1:8">
      <c r="A165" s="11" t="s">
        <v>365</v>
      </c>
      <c r="B165" s="12" t="s">
        <v>366</v>
      </c>
      <c r="C165" s="42" t="s">
        <v>367</v>
      </c>
      <c r="D165" s="11" t="s">
        <v>317</v>
      </c>
      <c r="E165" s="15">
        <v>1</v>
      </c>
      <c r="F165" s="35">
        <v>177263</v>
      </c>
      <c r="G165" s="36">
        <f>F165*E165</f>
        <v>177263</v>
      </c>
      <c r="H165" s="13"/>
    </row>
    <row r="166" ht="46.8" outlineLevel="1" spans="1:8">
      <c r="A166" s="11" t="s">
        <v>368</v>
      </c>
      <c r="B166" s="12" t="s">
        <v>369</v>
      </c>
      <c r="C166" s="42" t="s">
        <v>370</v>
      </c>
      <c r="D166" s="11" t="s">
        <v>317</v>
      </c>
      <c r="E166" s="15">
        <v>1</v>
      </c>
      <c r="F166" s="35">
        <v>498553</v>
      </c>
      <c r="G166" s="36">
        <f>F166*E166</f>
        <v>498553</v>
      </c>
      <c r="H166" s="13"/>
    </row>
    <row r="167" ht="16.2" outlineLevel="1" spans="1:8">
      <c r="A167" s="50" t="s">
        <v>23</v>
      </c>
      <c r="B167" s="50"/>
      <c r="C167" s="50"/>
      <c r="D167" s="50"/>
      <c r="E167" s="50"/>
      <c r="F167" s="51"/>
      <c r="G167" s="52">
        <f>SUM(G164:G166)</f>
        <v>797684</v>
      </c>
      <c r="H167" s="13"/>
    </row>
    <row r="168" ht="16.2" spans="1:8">
      <c r="A168" s="61" t="s">
        <v>371</v>
      </c>
      <c r="B168" s="62"/>
      <c r="C168" s="50"/>
      <c r="D168" s="50"/>
      <c r="E168" s="50"/>
      <c r="F168" s="51"/>
      <c r="G168" s="51"/>
      <c r="H168" s="13"/>
    </row>
    <row r="169" ht="16.2" spans="1:8">
      <c r="A169" s="38" t="s">
        <v>372</v>
      </c>
      <c r="B169" s="38"/>
      <c r="C169" s="50"/>
      <c r="D169" s="50"/>
      <c r="E169" s="50"/>
      <c r="F169" s="51"/>
      <c r="G169" s="51"/>
      <c r="H169" s="13"/>
    </row>
    <row r="170" ht="46.8" outlineLevel="1" spans="1:8">
      <c r="A170" s="11" t="s">
        <v>373</v>
      </c>
      <c r="B170" s="33" t="s">
        <v>374</v>
      </c>
      <c r="C170" s="34" t="s">
        <v>375</v>
      </c>
      <c r="D170" s="14" t="s">
        <v>376</v>
      </c>
      <c r="E170" s="15">
        <v>2</v>
      </c>
      <c r="F170" s="35"/>
      <c r="G170" s="35"/>
      <c r="H170" s="42"/>
    </row>
    <row r="171" ht="16.2" outlineLevel="1" spans="1:8">
      <c r="A171" s="50" t="s">
        <v>23</v>
      </c>
      <c r="B171" s="50"/>
      <c r="C171" s="50"/>
      <c r="D171" s="50"/>
      <c r="E171" s="50"/>
      <c r="F171" s="51"/>
      <c r="G171" s="51">
        <f>SUM(G193:G201)</f>
        <v>0</v>
      </c>
      <c r="H171" s="13"/>
    </row>
    <row r="172" ht="16.2" spans="1:8">
      <c r="A172" s="61" t="s">
        <v>377</v>
      </c>
      <c r="B172" s="62"/>
      <c r="C172" s="50"/>
      <c r="D172" s="50"/>
      <c r="E172" s="50"/>
      <c r="F172" s="51"/>
      <c r="G172" s="63">
        <f>G167+G162+G125+G121+G102+G5</f>
        <v>12420654</v>
      </c>
      <c r="H172" s="13"/>
    </row>
    <row r="175" spans="1:8">
      <c r="G175" s="64"/>
    </row>
    <row r="176" spans="1:8">
      <c r="G176" s="64"/>
    </row>
  </sheetData>
  <mergeCells count="10">
    <mergeCell ref="A1:H1"/>
    <mergeCell ref="A3:B3"/>
    <mergeCell ref="A6:B6"/>
    <mergeCell ref="A103:B103"/>
    <mergeCell ref="A122:B122"/>
    <mergeCell ref="A126:B126"/>
    <mergeCell ref="A163:B163"/>
    <mergeCell ref="A168:B168"/>
    <mergeCell ref="A169:B169"/>
    <mergeCell ref="A172:B17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5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4.4"/>
  <cols>
    <col min="1" max="1" width="6.75" style="3" customWidth="1"/>
    <col min="2" max="2" width="18.5" style="3" customWidth="1"/>
    <col min="3" max="3" width="40.25" style="4" customWidth="1"/>
    <col min="4" max="4" width="7" style="3" customWidth="1"/>
    <col min="5" max="5" width="9.37962962962963" style="3" customWidth="1"/>
    <col min="6" max="6" width="16.1296296296296" style="5" customWidth="1"/>
    <col min="7" max="7" width="16.6296296296296" style="5" customWidth="1"/>
    <col min="8" max="8" width="28" style="3" customWidth="1"/>
    <col min="9" max="9" width="36.6296296296296" style="3" customWidth="1"/>
    <col min="10" max="16384" width="9" style="3"/>
  </cols>
  <sheetData>
    <row r="1" s="1" customFormat="1" ht="24" customHeight="1" spans="1:11">
      <c r="A1" s="6" t="s">
        <v>0</v>
      </c>
      <c r="B1" s="6"/>
      <c r="C1" s="6"/>
      <c r="D1" s="6"/>
      <c r="E1" s="6"/>
      <c r="F1" s="6"/>
      <c r="G1" s="6"/>
      <c r="H1" s="6"/>
    </row>
    <row r="2" s="1" customFormat="1" ht="21.75" customHeight="1" spans="1:11">
      <c r="A2" s="7" t="s">
        <v>1</v>
      </c>
      <c r="B2" s="8" t="s">
        <v>2</v>
      </c>
      <c r="C2" s="9" t="s">
        <v>378</v>
      </c>
      <c r="D2" s="9" t="s">
        <v>13</v>
      </c>
      <c r="E2" s="9" t="s">
        <v>14</v>
      </c>
      <c r="F2" s="10" t="s">
        <v>379</v>
      </c>
      <c r="G2" s="10" t="s">
        <v>380</v>
      </c>
      <c r="H2" s="9" t="s">
        <v>5</v>
      </c>
    </row>
    <row r="3" ht="15.6" spans="1:11">
      <c r="A3" s="11" t="s">
        <v>381</v>
      </c>
      <c r="B3" s="12" t="s">
        <v>382</v>
      </c>
      <c r="C3" s="13"/>
      <c r="D3" s="14"/>
      <c r="E3" s="15"/>
      <c r="F3" s="16"/>
      <c r="G3" s="16"/>
      <c r="H3" s="13"/>
    </row>
    <row r="4" s="1" customFormat="1" ht="109.2" outlineLevel="1" spans="1:11">
      <c r="A4" s="11" t="s">
        <v>19</v>
      </c>
      <c r="B4" s="12" t="s">
        <v>383</v>
      </c>
      <c r="C4" s="13" t="s">
        <v>384</v>
      </c>
      <c r="D4" s="14" t="s">
        <v>22</v>
      </c>
      <c r="E4" s="15">
        <v>2</v>
      </c>
      <c r="F4" s="17">
        <v>31250</v>
      </c>
      <c r="G4" s="16">
        <f t="shared" ref="G4:G54" si="0">E4*F4</f>
        <v>62500</v>
      </c>
      <c r="H4" s="13"/>
    </row>
    <row r="5" ht="31.2" spans="1:11">
      <c r="A5" s="11" t="s">
        <v>385</v>
      </c>
      <c r="B5" s="12" t="s">
        <v>386</v>
      </c>
      <c r="C5" s="13" t="s">
        <v>387</v>
      </c>
      <c r="D5" s="14" t="s">
        <v>22</v>
      </c>
      <c r="E5" s="15">
        <v>3</v>
      </c>
      <c r="F5" s="17">
        <v>56250</v>
      </c>
      <c r="G5" s="16">
        <f t="shared" si="0"/>
        <v>168750</v>
      </c>
      <c r="H5" s="13"/>
    </row>
    <row r="6" ht="31.2" spans="1:11">
      <c r="A6" s="11" t="s">
        <v>388</v>
      </c>
      <c r="B6" s="12" t="s">
        <v>389</v>
      </c>
      <c r="C6" s="13" t="s">
        <v>390</v>
      </c>
      <c r="D6" s="14" t="s">
        <v>22</v>
      </c>
      <c r="E6" s="15">
        <v>2</v>
      </c>
      <c r="F6" s="17">
        <v>850000</v>
      </c>
      <c r="G6" s="16">
        <f t="shared" si="0"/>
        <v>1700000</v>
      </c>
      <c r="H6" s="13"/>
      <c r="I6" s="18"/>
      <c r="J6" s="2"/>
      <c r="K6" s="2"/>
    </row>
    <row r="7" ht="15.6" spans="1:11">
      <c r="A7" s="11" t="s">
        <v>391</v>
      </c>
      <c r="B7" s="12" t="s">
        <v>392</v>
      </c>
      <c r="C7" s="13" t="s">
        <v>393</v>
      </c>
      <c r="D7" s="14" t="s">
        <v>22</v>
      </c>
      <c r="E7" s="15">
        <v>1</v>
      </c>
      <c r="F7" s="17">
        <v>206250</v>
      </c>
      <c r="G7" s="16">
        <f t="shared" si="0"/>
        <v>206250</v>
      </c>
      <c r="H7" s="13"/>
    </row>
    <row r="8" ht="15.6" spans="1:11">
      <c r="A8" s="11" t="s">
        <v>394</v>
      </c>
      <c r="B8" s="13" t="s">
        <v>395</v>
      </c>
      <c r="C8" s="13" t="s">
        <v>396</v>
      </c>
      <c r="D8" s="14" t="s">
        <v>317</v>
      </c>
      <c r="E8" s="15">
        <v>1</v>
      </c>
      <c r="F8" s="17">
        <v>6250</v>
      </c>
      <c r="G8" s="16">
        <f t="shared" si="0"/>
        <v>6250</v>
      </c>
      <c r="H8" s="13"/>
    </row>
    <row r="9" ht="15.6" spans="1:11">
      <c r="A9" s="11" t="s">
        <v>397</v>
      </c>
      <c r="B9" s="12" t="s">
        <v>398</v>
      </c>
      <c r="C9" s="13"/>
      <c r="D9" s="14"/>
      <c r="E9" s="15"/>
      <c r="F9" s="17"/>
      <c r="G9" s="16">
        <f t="shared" si="0"/>
        <v>0</v>
      </c>
      <c r="H9" s="13"/>
    </row>
    <row r="10" ht="46.8" spans="1:11">
      <c r="A10" s="11" t="s">
        <v>25</v>
      </c>
      <c r="B10" s="12" t="s">
        <v>399</v>
      </c>
      <c r="C10" s="13" t="s">
        <v>400</v>
      </c>
      <c r="D10" s="14" t="s">
        <v>401</v>
      </c>
      <c r="E10" s="15">
        <v>60</v>
      </c>
      <c r="F10" s="17">
        <v>185</v>
      </c>
      <c r="G10" s="16">
        <f t="shared" si="0"/>
        <v>11100</v>
      </c>
      <c r="H10" s="13"/>
    </row>
    <row r="11" ht="62.4" spans="1:11">
      <c r="A11" s="11" t="s">
        <v>28</v>
      </c>
      <c r="B11" s="12" t="s">
        <v>402</v>
      </c>
      <c r="C11" s="13" t="s">
        <v>403</v>
      </c>
      <c r="D11" s="14" t="s">
        <v>401</v>
      </c>
      <c r="E11" s="15">
        <v>16</v>
      </c>
      <c r="F11" s="17">
        <v>6715</v>
      </c>
      <c r="G11" s="16">
        <f t="shared" si="0"/>
        <v>107440</v>
      </c>
      <c r="H11" s="13"/>
    </row>
    <row r="12" ht="46.8" spans="1:11">
      <c r="A12" s="11" t="s">
        <v>31</v>
      </c>
      <c r="B12" s="12" t="s">
        <v>404</v>
      </c>
      <c r="C12" s="13" t="s">
        <v>405</v>
      </c>
      <c r="D12" s="14" t="s">
        <v>401</v>
      </c>
      <c r="E12" s="15">
        <v>50</v>
      </c>
      <c r="F12" s="17">
        <v>812</v>
      </c>
      <c r="G12" s="16">
        <f t="shared" si="0"/>
        <v>40600</v>
      </c>
      <c r="H12" s="13"/>
    </row>
    <row r="13" ht="46.8" spans="1:11">
      <c r="A13" s="11" t="s">
        <v>77</v>
      </c>
      <c r="B13" s="12" t="s">
        <v>406</v>
      </c>
      <c r="C13" s="13" t="s">
        <v>407</v>
      </c>
      <c r="D13" s="14" t="s">
        <v>401</v>
      </c>
      <c r="E13" s="15">
        <v>3</v>
      </c>
      <c r="F13" s="17">
        <v>912</v>
      </c>
      <c r="G13" s="16">
        <f t="shared" si="0"/>
        <v>2736</v>
      </c>
      <c r="H13" s="13"/>
    </row>
    <row r="14" ht="46.8" spans="1:11">
      <c r="A14" s="11" t="s">
        <v>99</v>
      </c>
      <c r="B14" s="12" t="s">
        <v>408</v>
      </c>
      <c r="C14" s="13" t="s">
        <v>409</v>
      </c>
      <c r="D14" s="14" t="s">
        <v>22</v>
      </c>
      <c r="E14" s="15">
        <v>1</v>
      </c>
      <c r="F14" s="17">
        <v>125000</v>
      </c>
      <c r="G14" s="16">
        <f t="shared" si="0"/>
        <v>125000</v>
      </c>
      <c r="H14" s="13"/>
    </row>
    <row r="15" ht="15.6" spans="1:11">
      <c r="A15" s="11" t="s">
        <v>132</v>
      </c>
      <c r="B15" s="12" t="s">
        <v>410</v>
      </c>
      <c r="C15" s="13" t="s">
        <v>396</v>
      </c>
      <c r="D15" s="14" t="s">
        <v>317</v>
      </c>
      <c r="E15" s="15">
        <v>1</v>
      </c>
      <c r="F15" s="17">
        <v>31250</v>
      </c>
      <c r="G15" s="16">
        <f t="shared" si="0"/>
        <v>31250</v>
      </c>
      <c r="H15" s="13"/>
    </row>
    <row r="16" ht="15.6" spans="1:11">
      <c r="A16" s="11" t="s">
        <v>411</v>
      </c>
      <c r="B16" s="12" t="s">
        <v>412</v>
      </c>
      <c r="C16" s="12"/>
      <c r="D16" s="14"/>
      <c r="E16" s="15"/>
      <c r="F16" s="17">
        <v>0</v>
      </c>
      <c r="G16" s="16">
        <f t="shared" si="0"/>
        <v>0</v>
      </c>
      <c r="H16" s="13"/>
    </row>
    <row r="17" ht="46.8" spans="1:8">
      <c r="A17" s="11" t="s">
        <v>231</v>
      </c>
      <c r="B17" s="12" t="s">
        <v>413</v>
      </c>
      <c r="C17" s="13" t="s">
        <v>414</v>
      </c>
      <c r="D17" s="14" t="s">
        <v>22</v>
      </c>
      <c r="E17" s="15">
        <v>12</v>
      </c>
      <c r="F17" s="17">
        <v>17500</v>
      </c>
      <c r="G17" s="16">
        <f t="shared" si="0"/>
        <v>210000</v>
      </c>
      <c r="H17" s="13" t="s">
        <v>415</v>
      </c>
    </row>
    <row r="18" ht="46.8" spans="1:8">
      <c r="A18" s="11" t="s">
        <v>233</v>
      </c>
      <c r="B18" s="12" t="s">
        <v>416</v>
      </c>
      <c r="C18" s="13" t="s">
        <v>414</v>
      </c>
      <c r="D18" s="14" t="s">
        <v>22</v>
      </c>
      <c r="E18" s="15">
        <v>12</v>
      </c>
      <c r="F18" s="17">
        <v>17500</v>
      </c>
      <c r="G18" s="16">
        <f t="shared" si="0"/>
        <v>210000</v>
      </c>
      <c r="H18" s="13" t="s">
        <v>415</v>
      </c>
    </row>
    <row r="19" ht="46.8" spans="1:8">
      <c r="A19" s="11" t="s">
        <v>236</v>
      </c>
      <c r="B19" s="12" t="s">
        <v>417</v>
      </c>
      <c r="C19" s="13" t="s">
        <v>418</v>
      </c>
      <c r="D19" s="14" t="s">
        <v>22</v>
      </c>
      <c r="E19" s="15">
        <v>10</v>
      </c>
      <c r="F19" s="17">
        <v>16250</v>
      </c>
      <c r="G19" s="16">
        <f t="shared" si="0"/>
        <v>162500</v>
      </c>
      <c r="H19" s="13" t="s">
        <v>419</v>
      </c>
    </row>
    <row r="20" ht="46.8" spans="1:8">
      <c r="A20" s="11" t="s">
        <v>239</v>
      </c>
      <c r="B20" s="12" t="s">
        <v>420</v>
      </c>
      <c r="C20" s="13" t="s">
        <v>421</v>
      </c>
      <c r="D20" s="14" t="s">
        <v>22</v>
      </c>
      <c r="E20" s="15">
        <v>10</v>
      </c>
      <c r="F20" s="17">
        <v>15000</v>
      </c>
      <c r="G20" s="16">
        <f t="shared" si="0"/>
        <v>150000</v>
      </c>
      <c r="H20" s="13" t="s">
        <v>422</v>
      </c>
    </row>
    <row r="21" ht="46.8" spans="1:8">
      <c r="A21" s="11" t="s">
        <v>242</v>
      </c>
      <c r="B21" s="12" t="s">
        <v>423</v>
      </c>
      <c r="C21" s="13" t="s">
        <v>424</v>
      </c>
      <c r="D21" s="14" t="s">
        <v>22</v>
      </c>
      <c r="E21" s="15">
        <v>2</v>
      </c>
      <c r="F21" s="17">
        <v>7000</v>
      </c>
      <c r="G21" s="16">
        <f t="shared" si="0"/>
        <v>14000</v>
      </c>
      <c r="H21" s="13" t="s">
        <v>425</v>
      </c>
    </row>
    <row r="22" ht="15.6" spans="1:8">
      <c r="A22" s="11" t="s">
        <v>245</v>
      </c>
      <c r="B22" s="12" t="s">
        <v>426</v>
      </c>
      <c r="C22" s="13" t="s">
        <v>427</v>
      </c>
      <c r="D22" s="14" t="s">
        <v>22</v>
      </c>
      <c r="E22" s="15">
        <v>1</v>
      </c>
      <c r="F22" s="17">
        <v>56250</v>
      </c>
      <c r="G22" s="16">
        <f t="shared" si="0"/>
        <v>56250</v>
      </c>
      <c r="H22" s="13"/>
    </row>
    <row r="23" ht="15.6" spans="1:8">
      <c r="A23" s="11" t="s">
        <v>247</v>
      </c>
      <c r="B23" s="12" t="s">
        <v>410</v>
      </c>
      <c r="C23" s="13" t="s">
        <v>396</v>
      </c>
      <c r="D23" s="14" t="s">
        <v>317</v>
      </c>
      <c r="E23" s="15">
        <v>1</v>
      </c>
      <c r="F23" s="17">
        <v>25000</v>
      </c>
      <c r="G23" s="16">
        <f t="shared" si="0"/>
        <v>25000</v>
      </c>
      <c r="H23" s="13"/>
    </row>
    <row r="24" ht="15.6" spans="1:8">
      <c r="A24" s="11" t="s">
        <v>428</v>
      </c>
      <c r="B24" s="12" t="s">
        <v>429</v>
      </c>
      <c r="C24" s="13"/>
      <c r="D24" s="14"/>
      <c r="E24" s="15"/>
      <c r="F24" s="17">
        <v>0</v>
      </c>
      <c r="G24" s="16">
        <f t="shared" si="0"/>
        <v>0</v>
      </c>
      <c r="H24" s="13" t="s">
        <v>430</v>
      </c>
    </row>
    <row r="25" ht="62.4" spans="1:8">
      <c r="A25" s="11" t="s">
        <v>277</v>
      </c>
      <c r="B25" s="12" t="s">
        <v>431</v>
      </c>
      <c r="C25" s="13" t="s">
        <v>432</v>
      </c>
      <c r="D25" s="14" t="s">
        <v>22</v>
      </c>
      <c r="E25" s="15">
        <v>6</v>
      </c>
      <c r="F25" s="17">
        <v>66000</v>
      </c>
      <c r="G25" s="16">
        <f t="shared" si="0"/>
        <v>396000</v>
      </c>
      <c r="H25" s="13"/>
    </row>
    <row r="26" ht="15.6" spans="1:8">
      <c r="A26" s="11" t="s">
        <v>281</v>
      </c>
      <c r="B26" s="12" t="s">
        <v>433</v>
      </c>
      <c r="C26" s="13" t="s">
        <v>434</v>
      </c>
      <c r="D26" s="14" t="s">
        <v>22</v>
      </c>
      <c r="E26" s="15">
        <v>1</v>
      </c>
      <c r="F26" s="17">
        <v>468750</v>
      </c>
      <c r="G26" s="16">
        <f t="shared" si="0"/>
        <v>468750</v>
      </c>
      <c r="H26" s="13"/>
    </row>
    <row r="27" ht="15.6" spans="1:8">
      <c r="A27" s="11" t="s">
        <v>435</v>
      </c>
      <c r="B27" s="12" t="s">
        <v>410</v>
      </c>
      <c r="C27" s="13" t="s">
        <v>396</v>
      </c>
      <c r="D27" s="14" t="s">
        <v>317</v>
      </c>
      <c r="E27" s="15">
        <v>1</v>
      </c>
      <c r="F27" s="17">
        <v>18750</v>
      </c>
      <c r="G27" s="16">
        <f t="shared" si="0"/>
        <v>18750</v>
      </c>
      <c r="H27" s="13"/>
    </row>
    <row r="28" ht="15.6" spans="1:8">
      <c r="A28" s="11" t="s">
        <v>436</v>
      </c>
      <c r="B28" s="12" t="s">
        <v>68</v>
      </c>
      <c r="C28" s="13"/>
      <c r="D28" s="14"/>
      <c r="E28" s="15"/>
      <c r="F28" s="17">
        <v>0</v>
      </c>
      <c r="G28" s="16">
        <f t="shared" si="0"/>
        <v>0</v>
      </c>
      <c r="H28" s="13"/>
    </row>
    <row r="29" ht="87" customHeight="1" spans="1:8">
      <c r="A29" s="11" t="s">
        <v>285</v>
      </c>
      <c r="B29" s="12" t="s">
        <v>437</v>
      </c>
      <c r="C29" s="13" t="s">
        <v>438</v>
      </c>
      <c r="D29" s="14" t="s">
        <v>22</v>
      </c>
      <c r="E29" s="15">
        <v>1</v>
      </c>
      <c r="F29" s="17">
        <v>107500</v>
      </c>
      <c r="G29" s="16">
        <f t="shared" si="0"/>
        <v>107500</v>
      </c>
      <c r="H29" s="13"/>
    </row>
    <row r="30" ht="86.25" customHeight="1" spans="1:8">
      <c r="A30" s="11" t="s">
        <v>288</v>
      </c>
      <c r="B30" s="12" t="s">
        <v>439</v>
      </c>
      <c r="C30" s="13" t="s">
        <v>440</v>
      </c>
      <c r="D30" s="14" t="s">
        <v>22</v>
      </c>
      <c r="E30" s="15">
        <v>1</v>
      </c>
      <c r="F30" s="17">
        <v>210000</v>
      </c>
      <c r="G30" s="16">
        <f t="shared" si="0"/>
        <v>210000</v>
      </c>
      <c r="H30" s="13"/>
    </row>
    <row r="31" ht="78" spans="1:8">
      <c r="A31" s="11" t="s">
        <v>312</v>
      </c>
      <c r="B31" s="12" t="s">
        <v>441</v>
      </c>
      <c r="C31" s="13" t="s">
        <v>442</v>
      </c>
      <c r="D31" s="14" t="s">
        <v>22</v>
      </c>
      <c r="E31" s="15">
        <v>1</v>
      </c>
      <c r="F31" s="17">
        <v>141250</v>
      </c>
      <c r="G31" s="16">
        <f t="shared" si="0"/>
        <v>141250</v>
      </c>
      <c r="H31" s="13"/>
    </row>
    <row r="32" ht="15.6" spans="1:8">
      <c r="A32" s="11" t="s">
        <v>443</v>
      </c>
      <c r="B32" s="12" t="s">
        <v>444</v>
      </c>
      <c r="C32" s="13"/>
      <c r="D32" s="14"/>
      <c r="E32" s="15"/>
      <c r="F32" s="17">
        <v>0</v>
      </c>
      <c r="G32" s="16">
        <f t="shared" si="0"/>
        <v>0</v>
      </c>
      <c r="H32" s="13"/>
    </row>
    <row r="33" s="2" customFormat="1" ht="31.2" spans="1:8">
      <c r="A33" s="11" t="s">
        <v>362</v>
      </c>
      <c r="B33" s="12" t="s">
        <v>445</v>
      </c>
      <c r="C33" s="13" t="s">
        <v>446</v>
      </c>
      <c r="D33" s="14" t="s">
        <v>22</v>
      </c>
      <c r="E33" s="15">
        <v>6</v>
      </c>
      <c r="F33" s="17">
        <v>37500</v>
      </c>
      <c r="G33" s="16">
        <f t="shared" si="0"/>
        <v>225000</v>
      </c>
      <c r="H33" s="13"/>
    </row>
    <row r="34" s="2" customFormat="1" ht="15.6" spans="1:8">
      <c r="A34" s="11" t="s">
        <v>365</v>
      </c>
      <c r="B34" s="19" t="s">
        <v>426</v>
      </c>
      <c r="C34" s="13" t="s">
        <v>447</v>
      </c>
      <c r="D34" s="14" t="s">
        <v>22</v>
      </c>
      <c r="E34" s="15">
        <v>1</v>
      </c>
      <c r="F34" s="17">
        <v>375000</v>
      </c>
      <c r="G34" s="16">
        <f t="shared" si="0"/>
        <v>375000</v>
      </c>
      <c r="H34" s="13"/>
    </row>
    <row r="35" ht="15.6" spans="1:8">
      <c r="A35" s="11" t="s">
        <v>368</v>
      </c>
      <c r="B35" s="12" t="s">
        <v>410</v>
      </c>
      <c r="C35" s="13" t="s">
        <v>396</v>
      </c>
      <c r="D35" s="14" t="s">
        <v>317</v>
      </c>
      <c r="E35" s="15">
        <v>1</v>
      </c>
      <c r="F35" s="17">
        <v>6650</v>
      </c>
      <c r="G35" s="16">
        <f t="shared" si="0"/>
        <v>6650</v>
      </c>
      <c r="H35" s="13"/>
    </row>
    <row r="36" ht="78" spans="1:8">
      <c r="A36" s="11" t="s">
        <v>448</v>
      </c>
      <c r="B36" s="13" t="s">
        <v>449</v>
      </c>
      <c r="C36" s="13" t="s">
        <v>450</v>
      </c>
      <c r="D36" s="14" t="s">
        <v>22</v>
      </c>
      <c r="E36" s="15">
        <v>2</v>
      </c>
      <c r="F36" s="17">
        <v>437500</v>
      </c>
      <c r="G36" s="16">
        <f t="shared" si="0"/>
        <v>875000</v>
      </c>
      <c r="H36" s="13"/>
    </row>
    <row r="37" ht="62.4" spans="1:8">
      <c r="A37" s="11" t="s">
        <v>451</v>
      </c>
      <c r="B37" s="12" t="s">
        <v>352</v>
      </c>
      <c r="C37" s="13" t="s">
        <v>452</v>
      </c>
      <c r="D37" s="14" t="s">
        <v>22</v>
      </c>
      <c r="E37" s="15">
        <v>1</v>
      </c>
      <c r="F37" s="17">
        <v>171250</v>
      </c>
      <c r="G37" s="16">
        <f t="shared" si="0"/>
        <v>171250</v>
      </c>
      <c r="H37" s="13"/>
    </row>
    <row r="38" ht="62.4" spans="1:8">
      <c r="A38" s="11" t="s">
        <v>453</v>
      </c>
      <c r="B38" s="12" t="s">
        <v>354</v>
      </c>
      <c r="C38" s="13" t="s">
        <v>454</v>
      </c>
      <c r="D38" s="14" t="s">
        <v>22</v>
      </c>
      <c r="E38" s="15">
        <v>1</v>
      </c>
      <c r="F38" s="17">
        <v>730000</v>
      </c>
      <c r="G38" s="16">
        <f t="shared" si="0"/>
        <v>730000</v>
      </c>
      <c r="H38" s="13"/>
    </row>
    <row r="39" ht="62.4" spans="1:8">
      <c r="A39" s="11" t="s">
        <v>455</v>
      </c>
      <c r="B39" s="13" t="s">
        <v>456</v>
      </c>
      <c r="C39" s="13" t="s">
        <v>457</v>
      </c>
      <c r="D39" s="14" t="s">
        <v>22</v>
      </c>
      <c r="E39" s="15">
        <v>1</v>
      </c>
      <c r="F39" s="17">
        <v>500000</v>
      </c>
      <c r="G39" s="16">
        <f t="shared" si="0"/>
        <v>500000</v>
      </c>
      <c r="H39" s="13"/>
    </row>
    <row r="40" ht="31.2" spans="1:8">
      <c r="A40" s="11" t="s">
        <v>458</v>
      </c>
      <c r="B40" s="13" t="s">
        <v>459</v>
      </c>
      <c r="C40" s="13"/>
      <c r="D40" s="14"/>
      <c r="E40" s="15"/>
      <c r="F40" s="17">
        <v>0</v>
      </c>
      <c r="G40" s="16">
        <f t="shared" si="0"/>
        <v>0</v>
      </c>
      <c r="H40" s="13"/>
    </row>
    <row r="41" ht="124.8" spans="1:8">
      <c r="A41" s="13">
        <v>11.1</v>
      </c>
      <c r="B41" s="13" t="s">
        <v>460</v>
      </c>
      <c r="C41" s="13" t="s">
        <v>461</v>
      </c>
      <c r="D41" s="14" t="s">
        <v>462</v>
      </c>
      <c r="E41" s="15">
        <v>2</v>
      </c>
      <c r="F41" s="17">
        <v>17500</v>
      </c>
      <c r="G41" s="16">
        <f t="shared" si="0"/>
        <v>35000</v>
      </c>
      <c r="H41" s="13"/>
    </row>
    <row r="42" ht="124.8" spans="1:8">
      <c r="A42" s="13">
        <v>11.2</v>
      </c>
      <c r="B42" s="13" t="s">
        <v>463</v>
      </c>
      <c r="C42" s="13" t="s">
        <v>464</v>
      </c>
      <c r="D42" s="14" t="s">
        <v>462</v>
      </c>
      <c r="E42" s="15">
        <v>2</v>
      </c>
      <c r="F42" s="17">
        <v>42625</v>
      </c>
      <c r="G42" s="16">
        <f t="shared" si="0"/>
        <v>85250</v>
      </c>
      <c r="H42" s="13"/>
    </row>
    <row r="43" ht="15.6" spans="1:8">
      <c r="A43" s="13">
        <v>11.3</v>
      </c>
      <c r="B43" s="13" t="s">
        <v>465</v>
      </c>
      <c r="C43" s="13"/>
      <c r="D43" s="14" t="s">
        <v>462</v>
      </c>
      <c r="E43" s="15">
        <v>0</v>
      </c>
      <c r="F43" s="17">
        <v>0</v>
      </c>
      <c r="G43" s="16">
        <f t="shared" si="0"/>
        <v>0</v>
      </c>
      <c r="H43" s="13" t="s">
        <v>466</v>
      </c>
    </row>
    <row r="44" ht="78" spans="1:8">
      <c r="A44" s="13">
        <v>11.4</v>
      </c>
      <c r="B44" s="13" t="s">
        <v>467</v>
      </c>
      <c r="C44" s="13" t="s">
        <v>468</v>
      </c>
      <c r="D44" s="14" t="s">
        <v>462</v>
      </c>
      <c r="E44" s="15">
        <v>1</v>
      </c>
      <c r="F44" s="17">
        <v>50875</v>
      </c>
      <c r="G44" s="16">
        <f t="shared" si="0"/>
        <v>50875</v>
      </c>
      <c r="H44" s="13"/>
    </row>
    <row r="45" ht="109.2" spans="1:8">
      <c r="A45" s="13">
        <v>11.5</v>
      </c>
      <c r="B45" s="13" t="s">
        <v>469</v>
      </c>
      <c r="C45" s="13" t="s">
        <v>470</v>
      </c>
      <c r="D45" s="14" t="s">
        <v>462</v>
      </c>
      <c r="E45" s="15">
        <v>1</v>
      </c>
      <c r="F45" s="17">
        <v>55000</v>
      </c>
      <c r="G45" s="16">
        <f t="shared" si="0"/>
        <v>55000</v>
      </c>
      <c r="H45" s="13"/>
    </row>
    <row r="46" ht="140.4" spans="1:8">
      <c r="A46" s="13">
        <v>11.6</v>
      </c>
      <c r="B46" s="13" t="s">
        <v>471</v>
      </c>
      <c r="C46" s="13" t="s">
        <v>472</v>
      </c>
      <c r="D46" s="14" t="s">
        <v>462</v>
      </c>
      <c r="E46" s="15">
        <v>1</v>
      </c>
      <c r="F46" s="17">
        <v>72500</v>
      </c>
      <c r="G46" s="16">
        <f t="shared" si="0"/>
        <v>72500</v>
      </c>
      <c r="H46" s="13"/>
    </row>
    <row r="47" ht="93.6" spans="1:8">
      <c r="A47" s="13">
        <v>11.7</v>
      </c>
      <c r="B47" s="13" t="s">
        <v>473</v>
      </c>
      <c r="C47" s="13" t="s">
        <v>474</v>
      </c>
      <c r="D47" s="14" t="s">
        <v>462</v>
      </c>
      <c r="E47" s="15">
        <v>1</v>
      </c>
      <c r="F47" s="17">
        <v>42625</v>
      </c>
      <c r="G47" s="16">
        <f t="shared" si="0"/>
        <v>42625</v>
      </c>
      <c r="H47" s="13"/>
    </row>
    <row r="48" ht="109.2" spans="1:8">
      <c r="A48" s="13">
        <v>11.8</v>
      </c>
      <c r="B48" s="13" t="s">
        <v>475</v>
      </c>
      <c r="C48" s="13" t="s">
        <v>476</v>
      </c>
      <c r="D48" s="14" t="s">
        <v>22</v>
      </c>
      <c r="E48" s="15">
        <v>60</v>
      </c>
      <c r="F48" s="17">
        <v>375</v>
      </c>
      <c r="G48" s="16">
        <f t="shared" si="0"/>
        <v>22500</v>
      </c>
      <c r="H48" s="13" t="s">
        <v>477</v>
      </c>
    </row>
    <row r="49" ht="78" spans="1:8">
      <c r="A49" s="13">
        <v>11.9</v>
      </c>
      <c r="B49" s="13" t="s">
        <v>460</v>
      </c>
      <c r="C49" s="13" t="s">
        <v>478</v>
      </c>
      <c r="D49" s="14" t="s">
        <v>462</v>
      </c>
      <c r="E49" s="15">
        <v>2</v>
      </c>
      <c r="F49" s="17">
        <v>9375</v>
      </c>
      <c r="G49" s="16">
        <f t="shared" si="0"/>
        <v>18750</v>
      </c>
      <c r="H49" s="13" t="s">
        <v>479</v>
      </c>
    </row>
    <row r="50" ht="109.2" spans="1:8">
      <c r="A50" s="20" t="s">
        <v>480</v>
      </c>
      <c r="B50" s="13" t="s">
        <v>481</v>
      </c>
      <c r="C50" s="13" t="s">
        <v>482</v>
      </c>
      <c r="D50" s="14" t="s">
        <v>462</v>
      </c>
      <c r="E50" s="15">
        <v>1</v>
      </c>
      <c r="F50" s="17">
        <v>67250</v>
      </c>
      <c r="G50" s="16">
        <f t="shared" si="0"/>
        <v>67250</v>
      </c>
      <c r="H50" s="13"/>
    </row>
    <row r="51" ht="109.2" spans="1:8">
      <c r="A51" s="13">
        <v>11.11</v>
      </c>
      <c r="B51" s="13" t="s">
        <v>483</v>
      </c>
      <c r="C51" s="13" t="s">
        <v>484</v>
      </c>
      <c r="D51" s="14" t="s">
        <v>462</v>
      </c>
      <c r="E51" s="15">
        <v>1</v>
      </c>
      <c r="F51" s="17">
        <v>18750</v>
      </c>
      <c r="G51" s="16">
        <f t="shared" si="0"/>
        <v>18750</v>
      </c>
      <c r="H51" s="13"/>
    </row>
    <row r="52" ht="31.2" spans="1:8">
      <c r="A52" s="20" t="s">
        <v>485</v>
      </c>
      <c r="B52" s="13" t="s">
        <v>486</v>
      </c>
      <c r="C52" s="13" t="s">
        <v>487</v>
      </c>
      <c r="D52" s="14" t="s">
        <v>22</v>
      </c>
      <c r="E52" s="15">
        <v>1</v>
      </c>
      <c r="F52" s="17">
        <v>11875</v>
      </c>
      <c r="G52" s="16">
        <f t="shared" si="0"/>
        <v>11875</v>
      </c>
      <c r="H52" s="13" t="s">
        <v>488</v>
      </c>
    </row>
    <row r="53" ht="15.6" spans="1:8">
      <c r="A53" s="13">
        <v>12.11</v>
      </c>
      <c r="B53" s="13" t="s">
        <v>489</v>
      </c>
      <c r="C53" s="13" t="s">
        <v>489</v>
      </c>
      <c r="D53" s="14" t="s">
        <v>317</v>
      </c>
      <c r="E53" s="15">
        <v>1</v>
      </c>
      <c r="F53" s="17">
        <v>100000</v>
      </c>
      <c r="G53" s="16">
        <f t="shared" si="0"/>
        <v>100000</v>
      </c>
      <c r="H53" s="13"/>
    </row>
    <row r="54" ht="15.6" spans="1:8">
      <c r="A54" s="20" t="s">
        <v>490</v>
      </c>
      <c r="B54" s="13" t="s">
        <v>395</v>
      </c>
      <c r="C54" s="13" t="s">
        <v>396</v>
      </c>
      <c r="D54" s="14" t="s">
        <v>317</v>
      </c>
      <c r="E54" s="15">
        <v>1</v>
      </c>
      <c r="F54" s="17">
        <v>31250</v>
      </c>
      <c r="G54" s="16">
        <f t="shared" si="0"/>
        <v>31250</v>
      </c>
      <c r="H54" s="13"/>
    </row>
    <row r="55" ht="16.2" spans="1:8">
      <c r="A55" s="11"/>
      <c r="B55" s="12" t="s">
        <v>23</v>
      </c>
      <c r="C55" s="13"/>
      <c r="D55" s="12"/>
      <c r="E55" s="12"/>
      <c r="F55" s="21"/>
      <c r="G55" s="22">
        <f>SUM(G3:G54)/0.9</f>
        <v>9029334.44444444</v>
      </c>
      <c r="H55" s="12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汇总表</vt:lpstr>
      <vt:lpstr>1-智慧运营管理平台</vt:lpstr>
      <vt:lpstr>2-硬件支撑系统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forestrain</cp:lastModifiedBy>
  <dcterms:created xsi:type="dcterms:W3CDTF">2021-07-12T04:46:00Z</dcterms:created>
  <dcterms:modified xsi:type="dcterms:W3CDTF">2026-03-30T14:03:06Z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CE10A73707FD45DA9120EFC29B657F6C_13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